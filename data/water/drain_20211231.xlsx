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작업\2022\03\03\"/>
    </mc:Choice>
  </mc:AlternateContent>
  <bookViews>
    <workbookView xWindow="0" yWindow="0" windowWidth="28800" windowHeight="11970"/>
  </bookViews>
  <sheets>
    <sheet name="배수지현황" sheetId="1" r:id="rId1"/>
  </sheets>
  <definedNames>
    <definedName name="_xlnm._FilterDatabase" localSheetId="0" hidden="1">배수지현황!$A$3:$G$106</definedName>
    <definedName name="_xlnm.Print_Area" localSheetId="0">배수지현황!$A$1:$G$107</definedName>
    <definedName name="_xlnm.Print_Titles" localSheetId="0">배수지현황!$3:$3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7" i="1" l="1"/>
  <c r="E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comments1.xml><?xml version="1.0" encoding="utf-8"?>
<comments xmlns="http://schemas.openxmlformats.org/spreadsheetml/2006/main">
  <authors>
    <author>USER</author>
  </authors>
  <commentList>
    <comment ref="G2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600</t>
        </r>
        <r>
          <rPr>
            <sz val="9"/>
            <color indexed="81"/>
            <rFont val="돋움"/>
            <family val="3"/>
            <charset val="129"/>
          </rPr>
          <t>톤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사용중지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</commentList>
</comments>
</file>

<file path=xl/sharedStrings.xml><?xml version="1.0" encoding="utf-8"?>
<sst xmlns="http://schemas.openxmlformats.org/spreadsheetml/2006/main" count="422" uniqueCount="230">
  <si>
    <t>배수지 주소현황</t>
    <phoneticPr fontId="3" type="noConversion"/>
  </si>
  <si>
    <t>2021. 12. 31. 기준</t>
    <phoneticPr fontId="3" type="noConversion"/>
  </si>
  <si>
    <t>연번</t>
  </si>
  <si>
    <t>구분</t>
    <phoneticPr fontId="3" type="noConversion"/>
  </si>
  <si>
    <t>사업소</t>
    <phoneticPr fontId="3" type="noConversion"/>
  </si>
  <si>
    <t>시설명</t>
    <phoneticPr fontId="3" type="noConversion"/>
  </si>
  <si>
    <t>시설용량(톤)</t>
    <phoneticPr fontId="3" type="noConversion"/>
  </si>
  <si>
    <t>위       치</t>
  </si>
  <si>
    <t>지수</t>
  </si>
  <si>
    <t>지역</t>
    <phoneticPr fontId="3" type="noConversion"/>
  </si>
  <si>
    <t>중부</t>
  </si>
  <si>
    <t>보광</t>
  </si>
  <si>
    <t> 용산구 한남2동 산10-212</t>
    <phoneticPr fontId="3" type="noConversion"/>
  </si>
  <si>
    <t>월곡</t>
    <phoneticPr fontId="3" type="noConversion"/>
  </si>
  <si>
    <t>성북구 화랑로13가길 100</t>
    <phoneticPr fontId="10" type="noConversion"/>
  </si>
  <si>
    <t>1차</t>
    <phoneticPr fontId="3" type="noConversion"/>
  </si>
  <si>
    <t>가회</t>
  </si>
  <si>
    <t> 종로구 삼청동 산2-1</t>
    <phoneticPr fontId="3" type="noConversion"/>
  </si>
  <si>
    <t>개운산</t>
    <phoneticPr fontId="3" type="noConversion"/>
  </si>
  <si>
    <t>성북구 북악산로 949-73</t>
    <phoneticPr fontId="10" type="noConversion"/>
  </si>
  <si>
    <t>경내</t>
  </si>
  <si>
    <t> 종로구 세종로1동</t>
    <phoneticPr fontId="3" type="noConversion"/>
  </si>
  <si>
    <t>낙산</t>
  </si>
  <si>
    <t>종로구 낙산5길 17-14</t>
    <phoneticPr fontId="10" type="noConversion"/>
  </si>
  <si>
    <t>남산(대)</t>
    <phoneticPr fontId="3" type="noConversion"/>
  </si>
  <si>
    <t> 용산구 한남동 772-12</t>
  </si>
  <si>
    <t>남산소</t>
    <phoneticPr fontId="3" type="noConversion"/>
  </si>
  <si>
    <t>중구 남산공원길 649</t>
    <phoneticPr fontId="10" type="noConversion"/>
  </si>
  <si>
    <t>도원</t>
  </si>
  <si>
    <t> 용산구 산천동 산1-5</t>
    <phoneticPr fontId="3" type="noConversion"/>
  </si>
  <si>
    <t>무악</t>
  </si>
  <si>
    <t>종로구 통일로18나길 9</t>
    <phoneticPr fontId="10" type="noConversion"/>
  </si>
  <si>
    <t> 월곡소</t>
  </si>
  <si>
    <t>성북구 장월로3길 93-51</t>
    <phoneticPr fontId="10" type="noConversion"/>
  </si>
  <si>
    <t>정릉2</t>
  </si>
  <si>
    <t>성북구 보국문로34길 22</t>
    <phoneticPr fontId="10" type="noConversion"/>
  </si>
  <si>
    <t>한남</t>
  </si>
  <si>
    <t> 용산구 한남동 산 8-72</t>
    <phoneticPr fontId="3" type="noConversion"/>
  </si>
  <si>
    <t>2차</t>
  </si>
  <si>
    <t>성북1</t>
  </si>
  <si>
    <t>성북구 성북로4길 177</t>
    <phoneticPr fontId="10" type="noConversion"/>
  </si>
  <si>
    <t>성북2고구</t>
  </si>
  <si>
    <t> 성북구 성북2동 산16-3</t>
    <phoneticPr fontId="3" type="noConversion"/>
  </si>
  <si>
    <t>성북2저구</t>
  </si>
  <si>
    <t>성북구 성북로31길 137</t>
    <phoneticPr fontId="10" type="noConversion"/>
  </si>
  <si>
    <t>인수</t>
    <phoneticPr fontId="3" type="noConversion"/>
  </si>
  <si>
    <t>성북구 서경로 124</t>
    <phoneticPr fontId="10" type="noConversion"/>
  </si>
  <si>
    <t>정릉3</t>
  </si>
  <si>
    <t>성북구 보국문로29길 139</t>
    <phoneticPr fontId="10" type="noConversion"/>
  </si>
  <si>
    <t>정릉4</t>
  </si>
  <si>
    <t>성북구 솔샘로25가길 8</t>
    <phoneticPr fontId="10" type="noConversion"/>
  </si>
  <si>
    <t>종암1</t>
  </si>
  <si>
    <t> 성북구 안암동5가 산1-55</t>
    <phoneticPr fontId="3" type="noConversion"/>
  </si>
  <si>
    <t>평창1</t>
  </si>
  <si>
    <t>종로구 평창6길 19-1</t>
    <phoneticPr fontId="10" type="noConversion"/>
  </si>
  <si>
    <t>중부</t>
    <phoneticPr fontId="3" type="noConversion"/>
  </si>
  <si>
    <t>혜명</t>
  </si>
  <si>
    <t>종로구 와룡공원길 242</t>
    <phoneticPr fontId="10" type="noConversion"/>
  </si>
  <si>
    <t>3차</t>
    <phoneticPr fontId="3" type="noConversion"/>
  </si>
  <si>
    <t>평창2</t>
    <phoneticPr fontId="3" type="noConversion"/>
  </si>
  <si>
    <t>종로구 평창동 산6-43</t>
    <phoneticPr fontId="3" type="noConversion"/>
  </si>
  <si>
    <t>지역</t>
    <phoneticPr fontId="3" type="noConversion"/>
  </si>
  <si>
    <t>서부</t>
  </si>
  <si>
    <t>백련</t>
    <phoneticPr fontId="3" type="noConversion"/>
  </si>
  <si>
    <t> 서대문구 백련사길 39앞</t>
    <phoneticPr fontId="3" type="noConversion"/>
  </si>
  <si>
    <t>북악터널</t>
  </si>
  <si>
    <t> 서대문구 세검정로 168</t>
    <phoneticPr fontId="3" type="noConversion"/>
  </si>
  <si>
    <t>불광터널</t>
  </si>
  <si>
    <t> 은평구 진흥로 314</t>
    <phoneticPr fontId="3" type="noConversion"/>
  </si>
  <si>
    <t>와우산</t>
  </si>
  <si>
    <t> 마포구 와우산로 30길 31</t>
    <phoneticPr fontId="3" type="noConversion"/>
  </si>
  <si>
    <t>증산</t>
    <phoneticPr fontId="3" type="noConversion"/>
  </si>
  <si>
    <t> 은평구 증산로5길 37-9 200m전방</t>
    <phoneticPr fontId="3" type="noConversion"/>
  </si>
  <si>
    <t>1차</t>
    <phoneticPr fontId="3" type="noConversion"/>
  </si>
  <si>
    <t>가좌</t>
  </si>
  <si>
    <t> 서대문구 백련사길 99앞</t>
    <phoneticPr fontId="3" type="noConversion"/>
  </si>
  <si>
    <t>노고산</t>
  </si>
  <si>
    <t> 마포구 백범로 35</t>
    <phoneticPr fontId="3" type="noConversion"/>
  </si>
  <si>
    <t>능안</t>
  </si>
  <si>
    <t> 서대문구 봉원사길 96-93 옆</t>
    <phoneticPr fontId="3" type="noConversion"/>
  </si>
  <si>
    <t>독박골</t>
  </si>
  <si>
    <t> 은평구 불광로 145-28 150m진행</t>
    <phoneticPr fontId="3" type="noConversion"/>
  </si>
  <si>
    <t>만리</t>
  </si>
  <si>
    <t xml:space="preserve"> 마포구 만리재로 27길 69</t>
    <phoneticPr fontId="3" type="noConversion"/>
  </si>
  <si>
    <t>수색</t>
  </si>
  <si>
    <t>연희</t>
  </si>
  <si>
    <t> 서대문구 성산로7길 89-36 200m진행</t>
    <phoneticPr fontId="3" type="noConversion"/>
  </si>
  <si>
    <t>응암</t>
  </si>
  <si>
    <t> 은평구 백련사로 90 백련산쪽</t>
    <phoneticPr fontId="3" type="noConversion"/>
  </si>
  <si>
    <t>진관</t>
  </si>
  <si>
    <t xml:space="preserve">  은평구 갈현로47길 42-39앞</t>
    <phoneticPr fontId="3" type="noConversion"/>
  </si>
  <si>
    <t>할미당</t>
  </si>
  <si>
    <t> 서대문구 모래내로24가길 52 위쪽</t>
    <phoneticPr fontId="3" type="noConversion"/>
  </si>
  <si>
    <t>홍은</t>
    <phoneticPr fontId="3" type="noConversion"/>
  </si>
  <si>
    <t> 서대문구 통일로 48나길 32앞</t>
    <phoneticPr fontId="3" type="noConversion"/>
  </si>
  <si>
    <t>기자촌</t>
  </si>
  <si>
    <t> 은평구 연서로 46길 12 (기자촌교회 350m지점)</t>
    <phoneticPr fontId="3" type="noConversion"/>
  </si>
  <si>
    <t>삼우</t>
  </si>
  <si>
    <t xml:space="preserve"> 은평구 갈현로37길 66 </t>
    <phoneticPr fontId="3" type="noConversion"/>
  </si>
  <si>
    <t>자하문</t>
  </si>
  <si>
    <t> 서대문구 홍은중앙로 182 위쪽</t>
    <phoneticPr fontId="3" type="noConversion"/>
  </si>
  <si>
    <t>홍은3</t>
  </si>
  <si>
    <t> 서대문구 홍은3동 산11-63</t>
    <phoneticPr fontId="3" type="noConversion"/>
  </si>
  <si>
    <t>홍제</t>
  </si>
  <si>
    <t> 서대문구 세검정로 4길 154 100m전방</t>
    <phoneticPr fontId="3" type="noConversion"/>
  </si>
  <si>
    <t>동부</t>
  </si>
  <si>
    <t>대현산</t>
  </si>
  <si>
    <t>성동구 금호로 172-1</t>
    <phoneticPr fontId="10" type="noConversion"/>
  </si>
  <si>
    <t>아차산</t>
  </si>
  <si>
    <t>광진구 천호대로 731</t>
    <phoneticPr fontId="10" type="noConversion"/>
  </si>
  <si>
    <t>용마</t>
    <phoneticPr fontId="3" type="noConversion"/>
  </si>
  <si>
    <t>중랑구 용마산로 250-12</t>
    <phoneticPr fontId="10" type="noConversion"/>
  </si>
  <si>
    <t>신내</t>
  </si>
  <si>
    <t>중랑구 신내역로1길 171, 새은교회 방향</t>
    <phoneticPr fontId="10" type="noConversion"/>
  </si>
  <si>
    <t>금호</t>
  </si>
  <si>
    <t>성동구 금호산15길 15, 용봉근린공원 내</t>
    <phoneticPr fontId="10" type="noConversion"/>
  </si>
  <si>
    <t>아차산소</t>
  </si>
  <si>
    <t>광진구 천호대로 731 (아차산배수지 체육공원 내)</t>
    <phoneticPr fontId="10" type="noConversion"/>
  </si>
  <si>
    <t>용마소</t>
  </si>
  <si>
    <t>중랑구 용마산로 250-12(용마폭포공원 내)</t>
    <phoneticPr fontId="10" type="noConversion"/>
  </si>
  <si>
    <t>응봉</t>
  </si>
  <si>
    <t>성동구 독서당로57가길 24(대현산 유아숲체험장)</t>
    <phoneticPr fontId="10" type="noConversion"/>
  </si>
  <si>
    <t>북부</t>
  </si>
  <si>
    <t>공릉</t>
  </si>
  <si>
    <t>노원구 중계로 36(불암산종합스타디움)</t>
    <phoneticPr fontId="10" type="noConversion"/>
  </si>
  <si>
    <t>월계</t>
    <phoneticPr fontId="3" type="noConversion"/>
  </si>
  <si>
    <t>노원구 마들로 5가길113(초안산 체육공원 내)</t>
    <phoneticPr fontId="10" type="noConversion"/>
  </si>
  <si>
    <t>4.19</t>
    <phoneticPr fontId="3" type="noConversion"/>
  </si>
  <si>
    <t>강북구 4.19로 123(통일교육원 내)</t>
    <phoneticPr fontId="10" type="noConversion"/>
  </si>
  <si>
    <t>번동소</t>
  </si>
  <si>
    <t>강북구 오패산로52사길5앞 도로 건너편</t>
  </si>
  <si>
    <t>상계2</t>
    <phoneticPr fontId="3" type="noConversion"/>
  </si>
  <si>
    <t> 노원구 상계4동 산161-2</t>
    <phoneticPr fontId="3" type="noConversion"/>
  </si>
  <si>
    <t>수유5</t>
    <phoneticPr fontId="3" type="noConversion"/>
  </si>
  <si>
    <t>강북구 삼각산로4-5</t>
    <phoneticPr fontId="10" type="noConversion"/>
  </si>
  <si>
    <t>수유6</t>
    <phoneticPr fontId="3" type="noConversion"/>
  </si>
  <si>
    <t>강북구 인수봉로73나길 27, 홍익파크빌라 방향</t>
    <phoneticPr fontId="10" type="noConversion"/>
  </si>
  <si>
    <t>우이</t>
    <phoneticPr fontId="3" type="noConversion"/>
  </si>
  <si>
    <t>강북구 삼양로173길 116-28</t>
  </si>
  <si>
    <t>강서</t>
  </si>
  <si>
    <t>목동</t>
    <phoneticPr fontId="3" type="noConversion"/>
  </si>
  <si>
    <t> 양천구 용왕정길 30</t>
    <phoneticPr fontId="3" type="noConversion"/>
  </si>
  <si>
    <t>신월</t>
  </si>
  <si>
    <t> 양천구 남부순환로64길 20</t>
    <phoneticPr fontId="3" type="noConversion"/>
  </si>
  <si>
    <t>신정</t>
    <phoneticPr fontId="3" type="noConversion"/>
  </si>
  <si>
    <t> 양천구 중앙로17길 21</t>
    <phoneticPr fontId="3" type="noConversion"/>
  </si>
  <si>
    <t>우장산</t>
  </si>
  <si>
    <t> 강서구 우장산로10길 112</t>
    <phoneticPr fontId="3" type="noConversion"/>
  </si>
  <si>
    <t>개봉</t>
    <phoneticPr fontId="3" type="noConversion"/>
  </si>
  <si>
    <t> 구로구 개봉로17길</t>
    <phoneticPr fontId="3" type="noConversion"/>
  </si>
  <si>
    <t>오류2</t>
  </si>
  <si>
    <t> 구로구 오류로8바길</t>
    <phoneticPr fontId="3" type="noConversion"/>
  </si>
  <si>
    <t>온수2</t>
  </si>
  <si>
    <t> 구로구 부일로1다길</t>
    <phoneticPr fontId="3" type="noConversion"/>
  </si>
  <si>
    <t>화곡</t>
  </si>
  <si>
    <t> 강서구 초록마을로15길 81</t>
    <phoneticPr fontId="3" type="noConversion"/>
  </si>
  <si>
    <t>남부</t>
  </si>
  <si>
    <t>금천</t>
    <phoneticPr fontId="3" type="noConversion"/>
  </si>
  <si>
    <t> 금천구 독산로54길 102-27(금천체육공원 내)</t>
    <phoneticPr fontId="3" type="noConversion"/>
  </si>
  <si>
    <t>낙성대</t>
  </si>
  <si>
    <t> 관악구 낙성대로 40</t>
    <phoneticPr fontId="3" type="noConversion"/>
  </si>
  <si>
    <t>노량진</t>
  </si>
  <si>
    <t> 동작구 노량진로 247</t>
    <phoneticPr fontId="3" type="noConversion"/>
  </si>
  <si>
    <t>대방</t>
    <phoneticPr fontId="3" type="noConversion"/>
  </si>
  <si>
    <t> 동작구 여의대방로36길 71</t>
    <phoneticPr fontId="3" type="noConversion"/>
  </si>
  <si>
    <t>독산</t>
    <phoneticPr fontId="3" type="noConversion"/>
  </si>
  <si>
    <t> 금천구 독산로54길 288</t>
    <phoneticPr fontId="3" type="noConversion"/>
  </si>
  <si>
    <t>상도</t>
  </si>
  <si>
    <t> 동작구 매봉로6길 16</t>
    <phoneticPr fontId="3" type="noConversion"/>
  </si>
  <si>
    <t>남현</t>
  </si>
  <si>
    <t> 관악구 남현12길 42</t>
    <phoneticPr fontId="3" type="noConversion"/>
  </si>
  <si>
    <t>봉천6-2</t>
  </si>
  <si>
    <t> 동작구 솔밭로45-5</t>
    <phoneticPr fontId="3" type="noConversion"/>
  </si>
  <si>
    <t>봉천11(대)</t>
    <phoneticPr fontId="3" type="noConversion"/>
  </si>
  <si>
    <t> 관악구 인헌길 161-23</t>
    <phoneticPr fontId="3" type="noConversion"/>
  </si>
  <si>
    <t>봉현</t>
    <phoneticPr fontId="3" type="noConversion"/>
  </si>
  <si>
    <t> 관악구 성현로 53</t>
    <phoneticPr fontId="3" type="noConversion"/>
  </si>
  <si>
    <t>사당3</t>
  </si>
  <si>
    <t> 동작구 사당로23길 283</t>
    <phoneticPr fontId="3" type="noConversion"/>
  </si>
  <si>
    <t>사당4</t>
  </si>
  <si>
    <t> 동작구 남부순환로251길 20-1</t>
    <phoneticPr fontId="3" type="noConversion"/>
  </si>
  <si>
    <t>상도3</t>
  </si>
  <si>
    <t> 동작구 성대로6사길 27-6</t>
    <phoneticPr fontId="3" type="noConversion"/>
  </si>
  <si>
    <t>선우</t>
    <phoneticPr fontId="3" type="noConversion"/>
  </si>
  <si>
    <t> 관악구 독산로54길 선우지구공원</t>
    <phoneticPr fontId="3" type="noConversion"/>
  </si>
  <si>
    <t>신림2-1</t>
  </si>
  <si>
    <t> 관악구 신림동 1713-6(상가동 옆 놀이터 내)</t>
    <phoneticPr fontId="3" type="noConversion"/>
  </si>
  <si>
    <t>신림6</t>
  </si>
  <si>
    <t> 관악구 신림로56길 18</t>
    <phoneticPr fontId="3" type="noConversion"/>
  </si>
  <si>
    <t>장군봉</t>
    <phoneticPr fontId="3" type="noConversion"/>
  </si>
  <si>
    <t xml:space="preserve"> 관악구 장군봉길 장군봉근린공원</t>
    <phoneticPr fontId="3" type="noConversion"/>
  </si>
  <si>
    <t>국사봉</t>
    <phoneticPr fontId="3" type="noConversion"/>
  </si>
  <si>
    <t xml:space="preserve"> 관악구 봉천동 1718-9번지(상도근린공원)</t>
    <phoneticPr fontId="3" type="noConversion"/>
  </si>
  <si>
    <t>봉천11(소)</t>
  </si>
  <si>
    <t>신림2</t>
  </si>
  <si>
    <t> 관악구 복은길 140</t>
    <phoneticPr fontId="3" type="noConversion"/>
  </si>
  <si>
    <t>신림9</t>
  </si>
  <si>
    <t xml:space="preserve"> 관악구 대학18길 52 </t>
    <phoneticPr fontId="3" type="noConversion"/>
  </si>
  <si>
    <t>강남</t>
    <phoneticPr fontId="3" type="noConversion"/>
  </si>
  <si>
    <t>봉은</t>
    <phoneticPr fontId="3" type="noConversion"/>
  </si>
  <si>
    <r>
      <t xml:space="preserve">강남구 삼성동 </t>
    </r>
    <r>
      <rPr>
        <sz val="12"/>
        <color theme="1"/>
        <rFont val="굴림체"/>
        <family val="3"/>
        <charset val="129"/>
      </rPr>
      <t>79-1(청담배수지공원 내)</t>
    </r>
    <phoneticPr fontId="3" type="noConversion"/>
  </si>
  <si>
    <t>삼성</t>
    <phoneticPr fontId="3" type="noConversion"/>
  </si>
  <si>
    <r>
      <t xml:space="preserve">강남구 삼성동 </t>
    </r>
    <r>
      <rPr>
        <sz val="12"/>
        <color theme="1"/>
        <rFont val="굴림체"/>
        <family val="3"/>
        <charset val="129"/>
      </rPr>
      <t>79-1(삼성해맞이공원 내)</t>
    </r>
    <phoneticPr fontId="3" type="noConversion"/>
  </si>
  <si>
    <t>수서</t>
    <phoneticPr fontId="3" type="noConversion"/>
  </si>
  <si>
    <r>
      <t xml:space="preserve">강남구 수서동 </t>
    </r>
    <r>
      <rPr>
        <sz val="12"/>
        <color rgb="FF000000"/>
        <rFont val="굴림체"/>
        <family val="3"/>
        <charset val="129"/>
      </rPr>
      <t>569</t>
    </r>
  </si>
  <si>
    <t>반포</t>
    <phoneticPr fontId="3" type="noConversion"/>
  </si>
  <si>
    <r>
      <t>서초구 서초동 산</t>
    </r>
    <r>
      <rPr>
        <sz val="12"/>
        <color rgb="FF000000"/>
        <rFont val="굴림체"/>
        <family val="3"/>
        <charset val="129"/>
      </rPr>
      <t>180-1</t>
    </r>
  </si>
  <si>
    <t>방배</t>
    <phoneticPr fontId="3" type="noConversion"/>
  </si>
  <si>
    <r>
      <t xml:space="preserve">서초구 방배동 </t>
    </r>
    <r>
      <rPr>
        <sz val="12"/>
        <color rgb="FF000000"/>
        <rFont val="굴림체"/>
        <family val="3"/>
        <charset val="129"/>
      </rPr>
      <t>599</t>
    </r>
  </si>
  <si>
    <t>서초</t>
    <phoneticPr fontId="3" type="noConversion"/>
  </si>
  <si>
    <r>
      <t xml:space="preserve">서초구 서초동 </t>
    </r>
    <r>
      <rPr>
        <sz val="12"/>
        <color rgb="FF000000"/>
        <rFont val="굴림체"/>
        <family val="3"/>
        <charset val="129"/>
      </rPr>
      <t>393-13</t>
    </r>
  </si>
  <si>
    <t>양재</t>
    <phoneticPr fontId="3" type="noConversion"/>
  </si>
  <si>
    <r>
      <t xml:space="preserve">서초구 서초동 </t>
    </r>
    <r>
      <rPr>
        <sz val="12"/>
        <color rgb="FF000000"/>
        <rFont val="굴림체"/>
        <family val="3"/>
        <charset val="129"/>
      </rPr>
      <t>269-4</t>
    </r>
  </si>
  <si>
    <t>내곡</t>
    <phoneticPr fontId="3" type="noConversion"/>
  </si>
  <si>
    <r>
      <t>서초구 내곡동 산</t>
    </r>
    <r>
      <rPr>
        <sz val="12"/>
        <color rgb="FF000000"/>
        <rFont val="굴림체"/>
        <family val="3"/>
        <charset val="129"/>
      </rPr>
      <t>12-571</t>
    </r>
  </si>
  <si>
    <t>일원</t>
    <phoneticPr fontId="3" type="noConversion"/>
  </si>
  <si>
    <r>
      <t xml:space="preserve">강남구 일원동 </t>
    </r>
    <r>
      <rPr>
        <sz val="12"/>
        <color rgb="FF000000"/>
        <rFont val="굴림체"/>
        <family val="3"/>
        <charset val="129"/>
      </rPr>
      <t>737-1</t>
    </r>
  </si>
  <si>
    <t>강동</t>
  </si>
  <si>
    <t>길동</t>
    <phoneticPr fontId="3" type="noConversion"/>
  </si>
  <si>
    <t>강동구 둔촌동 산86 (허브천문공원 내)</t>
    <phoneticPr fontId="10" type="noConversion"/>
  </si>
  <si>
    <t>오금</t>
    <phoneticPr fontId="3" type="noConversion"/>
  </si>
  <si>
    <t>송파구 오금로 363 (오금근린공원내)</t>
    <phoneticPr fontId="10" type="noConversion"/>
  </si>
  <si>
    <t>거마</t>
    <phoneticPr fontId="3" type="noConversion"/>
  </si>
  <si>
    <t>경기도 하남시 학암로 23 (청운사 방향)</t>
    <phoneticPr fontId="10" type="noConversion"/>
  </si>
  <si>
    <t>강동</t>
    <phoneticPr fontId="3" type="noConversion"/>
  </si>
  <si>
    <t>위례</t>
    <phoneticPr fontId="3" type="noConversion"/>
  </si>
  <si>
    <t>경기도 하남시 위례송하로 134번길</t>
    <phoneticPr fontId="3" type="noConversion"/>
  </si>
  <si>
    <t>광암</t>
  </si>
  <si>
    <t>경기도 하남시 서하남로 293</t>
  </si>
  <si>
    <t>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</si>
</sst>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mm&quot;월&quot;\ dd&quot;일&quot;"/>
  </numFmts>
  <fonts count="2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24"/>
      <color indexed="8"/>
      <name val="HY헤드라인M"/>
      <family val="1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sz val="12"/>
      <color indexed="8"/>
      <name val="돋움"/>
      <family val="3"/>
      <charset val="129"/>
    </font>
    <font>
      <sz val="12"/>
      <color theme="1"/>
      <name val="돋움"/>
      <family val="3"/>
      <charset val="129"/>
    </font>
    <font>
      <sz val="12"/>
      <name val="돋움"/>
      <family val="3"/>
      <charset val="129"/>
    </font>
    <font>
      <sz val="9"/>
      <name val="돋움"/>
      <family val="3"/>
      <charset val="129"/>
    </font>
    <font>
      <sz val="12"/>
      <color rgb="FF222222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12"/>
      <color rgb="FF00B0F0"/>
      <name val="돋움"/>
      <family val="3"/>
      <charset val="129"/>
    </font>
    <font>
      <sz val="12"/>
      <color theme="1"/>
      <name val="굴림체"/>
      <family val="3"/>
      <charset val="129"/>
    </font>
    <font>
      <sz val="12"/>
      <color rgb="FF000000"/>
      <name val="돋움"/>
      <family val="3"/>
      <charset val="129"/>
    </font>
    <font>
      <sz val="12"/>
      <color rgb="FF000000"/>
      <name val="굴림체"/>
      <family val="3"/>
      <charset val="129"/>
    </font>
    <font>
      <b/>
      <sz val="1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Fill="1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1" xfId="0" applyFont="1" applyFill="1" applyBorder="1" applyAlignment="1" applyProtection="1">
      <alignment horizontal="right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41" fontId="5" fillId="2" borderId="2" xfId="1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41" fontId="7" fillId="3" borderId="2" xfId="1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 shrinkToFit="1"/>
      <protection locked="0"/>
    </xf>
    <xf numFmtId="0" fontId="8" fillId="0" borderId="0" xfId="0" applyFont="1" applyAlignment="1" applyProtection="1">
      <alignment horizontal="center"/>
      <protection locked="0"/>
    </xf>
    <xf numFmtId="49" fontId="9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Fill="1" applyBorder="1" applyAlignment="1" applyProtection="1">
      <alignment horizontal="center" vertical="center"/>
      <protection locked="0"/>
    </xf>
    <xf numFmtId="41" fontId="6" fillId="0" borderId="2" xfId="1" applyFont="1" applyFill="1" applyBorder="1" applyAlignment="1" applyProtection="1">
      <alignment horizontal="center" vertical="center"/>
      <protection locked="0"/>
    </xf>
    <xf numFmtId="49" fontId="6" fillId="0" borderId="2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 applyProtection="1">
      <alignment horizont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41" fontId="7" fillId="0" borderId="2" xfId="1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 shrinkToFit="1"/>
      <protection locked="0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41" fontId="6" fillId="3" borderId="2" xfId="1" applyFont="1" applyFill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176" fontId="7" fillId="0" borderId="2" xfId="0" quotePrefix="1" applyNumberFormat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0" fontId="6" fillId="0" borderId="2" xfId="0" applyFont="1" applyFill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16" fillId="0" borderId="2" xfId="0" applyFont="1" applyBorder="1" applyAlignment="1" applyProtection="1">
      <alignment horizontal="center" vertical="center"/>
      <protection locked="0"/>
    </xf>
    <xf numFmtId="41" fontId="16" fillId="0" borderId="2" xfId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41" fontId="0" fillId="0" borderId="0" xfId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pageSetUpPr fitToPage="1"/>
  </sheetPr>
  <dimension ref="A1:G107"/>
  <sheetViews>
    <sheetView tabSelected="1" view="pageBreakPreview" topLeftCell="A24" zoomScale="85" zoomScaleNormal="100" zoomScaleSheetLayoutView="85" workbookViewId="0">
      <selection activeCell="F26" sqref="F26"/>
    </sheetView>
  </sheetViews>
  <sheetFormatPr defaultColWidth="8.88671875" defaultRowHeight="33" customHeight="1" x14ac:dyDescent="0.15"/>
  <cols>
    <col min="1" max="2" width="9.6640625" style="2" bestFit="1" customWidth="1"/>
    <col min="3" max="3" width="11.44140625" style="2" bestFit="1" customWidth="1"/>
    <col min="4" max="4" width="11.6640625" style="2" bestFit="1" customWidth="1"/>
    <col min="5" max="5" width="18" style="37" bestFit="1" customWidth="1"/>
    <col min="6" max="6" width="48.21875" style="38" bestFit="1" customWidth="1"/>
    <col min="7" max="7" width="9.6640625" style="2" bestFit="1" customWidth="1"/>
    <col min="8" max="16384" width="8.88671875" style="2"/>
  </cols>
  <sheetData>
    <row r="1" spans="1:7" ht="33" customHeight="1" x14ac:dyDescent="0.4">
      <c r="A1" s="1" t="s">
        <v>0</v>
      </c>
      <c r="B1" s="1"/>
      <c r="C1" s="1"/>
      <c r="D1" s="1"/>
      <c r="E1" s="1"/>
      <c r="F1" s="1"/>
      <c r="G1" s="1"/>
    </row>
    <row r="2" spans="1:7" ht="33" customHeight="1" x14ac:dyDescent="0.15">
      <c r="A2" s="3" t="s">
        <v>1</v>
      </c>
      <c r="B2" s="3"/>
      <c r="C2" s="3"/>
      <c r="D2" s="3"/>
      <c r="E2" s="3"/>
      <c r="F2" s="3"/>
      <c r="G2" s="3"/>
    </row>
    <row r="3" spans="1:7" ht="33" customHeight="1" x14ac:dyDescent="0.15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 t="s">
        <v>7</v>
      </c>
      <c r="G3" s="4" t="s">
        <v>8</v>
      </c>
    </row>
    <row r="4" spans="1:7" s="11" customFormat="1" ht="33" customHeight="1" x14ac:dyDescent="0.15">
      <c r="A4" s="7">
        <f>SUBTOTAL(3,$B$4:B4)+0</f>
        <v>1</v>
      </c>
      <c r="B4" s="7" t="s">
        <v>9</v>
      </c>
      <c r="C4" s="7" t="s">
        <v>10</v>
      </c>
      <c r="D4" s="8" t="s">
        <v>11</v>
      </c>
      <c r="E4" s="9">
        <v>20000</v>
      </c>
      <c r="F4" s="10" t="s">
        <v>12</v>
      </c>
      <c r="G4" s="7">
        <v>2</v>
      </c>
    </row>
    <row r="5" spans="1:7" s="11" customFormat="1" ht="33" customHeight="1" x14ac:dyDescent="0.15">
      <c r="A5" s="7">
        <f>SUBTOTAL(3,$B$4:B5)+0</f>
        <v>2</v>
      </c>
      <c r="B5" s="7" t="s">
        <v>9</v>
      </c>
      <c r="C5" s="7" t="s">
        <v>10</v>
      </c>
      <c r="D5" s="8" t="s">
        <v>13</v>
      </c>
      <c r="E5" s="9">
        <v>50000</v>
      </c>
      <c r="F5" s="12" t="s">
        <v>14</v>
      </c>
      <c r="G5" s="7">
        <v>2</v>
      </c>
    </row>
    <row r="6" spans="1:7" ht="33" customHeight="1" x14ac:dyDescent="0.15">
      <c r="A6" s="7">
        <f>SUBTOTAL(3,$B$4:B6)+0</f>
        <v>3</v>
      </c>
      <c r="B6" s="7" t="s">
        <v>15</v>
      </c>
      <c r="C6" s="7" t="s">
        <v>10</v>
      </c>
      <c r="D6" s="8" t="s">
        <v>16</v>
      </c>
      <c r="E6" s="9">
        <v>1000</v>
      </c>
      <c r="F6" s="10" t="s">
        <v>17</v>
      </c>
      <c r="G6" s="7">
        <v>2</v>
      </c>
    </row>
    <row r="7" spans="1:7" ht="33" customHeight="1" x14ac:dyDescent="0.15">
      <c r="A7" s="7">
        <f>SUBTOTAL(3,$B$4:B7)+0</f>
        <v>4</v>
      </c>
      <c r="B7" s="7" t="s">
        <v>15</v>
      </c>
      <c r="C7" s="7" t="s">
        <v>10</v>
      </c>
      <c r="D7" s="8" t="s">
        <v>18</v>
      </c>
      <c r="E7" s="9">
        <v>20000</v>
      </c>
      <c r="F7" s="12" t="s">
        <v>19</v>
      </c>
      <c r="G7" s="7">
        <v>2</v>
      </c>
    </row>
    <row r="8" spans="1:7" ht="33" customHeight="1" x14ac:dyDescent="0.15">
      <c r="A8" s="7">
        <f>SUBTOTAL(3,$B$4:B8)+0</f>
        <v>5</v>
      </c>
      <c r="B8" s="7" t="s">
        <v>15</v>
      </c>
      <c r="C8" s="7" t="s">
        <v>10</v>
      </c>
      <c r="D8" s="8" t="s">
        <v>20</v>
      </c>
      <c r="E8" s="9">
        <v>1000</v>
      </c>
      <c r="F8" s="10" t="s">
        <v>21</v>
      </c>
      <c r="G8" s="7">
        <v>2</v>
      </c>
    </row>
    <row r="9" spans="1:7" s="17" customFormat="1" ht="33" customHeight="1" x14ac:dyDescent="0.15">
      <c r="A9" s="13">
        <f>SUBTOTAL(3,$B$4:B9)+0</f>
        <v>6</v>
      </c>
      <c r="B9" s="13" t="s">
        <v>15</v>
      </c>
      <c r="C9" s="13" t="s">
        <v>10</v>
      </c>
      <c r="D9" s="14" t="s">
        <v>22</v>
      </c>
      <c r="E9" s="15">
        <v>5600</v>
      </c>
      <c r="F9" s="16" t="s">
        <v>23</v>
      </c>
      <c r="G9" s="13">
        <v>2</v>
      </c>
    </row>
    <row r="10" spans="1:7" ht="33" customHeight="1" x14ac:dyDescent="0.15">
      <c r="A10" s="7">
        <f>SUBTOTAL(3,$B$4:B10)+0</f>
        <v>7</v>
      </c>
      <c r="B10" s="7" t="s">
        <v>15</v>
      </c>
      <c r="C10" s="7" t="s">
        <v>10</v>
      </c>
      <c r="D10" s="8" t="s">
        <v>24</v>
      </c>
      <c r="E10" s="9">
        <v>40000</v>
      </c>
      <c r="F10" s="10" t="s">
        <v>25</v>
      </c>
      <c r="G10" s="7">
        <v>4</v>
      </c>
    </row>
    <row r="11" spans="1:7" ht="33" customHeight="1" x14ac:dyDescent="0.15">
      <c r="A11" s="7">
        <f>SUBTOTAL(3,$B$4:B11)+0</f>
        <v>8</v>
      </c>
      <c r="B11" s="7" t="s">
        <v>15</v>
      </c>
      <c r="C11" s="7" t="s">
        <v>10</v>
      </c>
      <c r="D11" s="8" t="s">
        <v>26</v>
      </c>
      <c r="E11" s="9">
        <v>1100</v>
      </c>
      <c r="F11" s="12" t="s">
        <v>27</v>
      </c>
      <c r="G11" s="7">
        <v>2</v>
      </c>
    </row>
    <row r="12" spans="1:7" ht="33" customHeight="1" x14ac:dyDescent="0.15">
      <c r="A12" s="7">
        <f>SUBTOTAL(3,$B$4:B12)+0</f>
        <v>9</v>
      </c>
      <c r="B12" s="7" t="s">
        <v>15</v>
      </c>
      <c r="C12" s="7" t="s">
        <v>10</v>
      </c>
      <c r="D12" s="18" t="s">
        <v>28</v>
      </c>
      <c r="E12" s="19">
        <v>900</v>
      </c>
      <c r="F12" s="20" t="s">
        <v>29</v>
      </c>
      <c r="G12" s="21">
        <v>2</v>
      </c>
    </row>
    <row r="13" spans="1:7" ht="33" customHeight="1" x14ac:dyDescent="0.15">
      <c r="A13" s="7">
        <f>SUBTOTAL(3,$B$4:B13)+0</f>
        <v>10</v>
      </c>
      <c r="B13" s="7" t="s">
        <v>15</v>
      </c>
      <c r="C13" s="7" t="s">
        <v>10</v>
      </c>
      <c r="D13" s="8" t="s">
        <v>30</v>
      </c>
      <c r="E13" s="9">
        <v>1000</v>
      </c>
      <c r="F13" s="12" t="s">
        <v>31</v>
      </c>
      <c r="G13" s="7">
        <v>1</v>
      </c>
    </row>
    <row r="14" spans="1:7" ht="33" customHeight="1" x14ac:dyDescent="0.15">
      <c r="A14" s="7">
        <f>SUBTOTAL(3,$B$4:B14)+0</f>
        <v>11</v>
      </c>
      <c r="B14" s="7" t="s">
        <v>15</v>
      </c>
      <c r="C14" s="7" t="s">
        <v>10</v>
      </c>
      <c r="D14" s="8" t="s">
        <v>32</v>
      </c>
      <c r="E14" s="9">
        <v>10000</v>
      </c>
      <c r="F14" s="12" t="s">
        <v>33</v>
      </c>
      <c r="G14" s="7">
        <v>2</v>
      </c>
    </row>
    <row r="15" spans="1:7" ht="33" customHeight="1" x14ac:dyDescent="0.15">
      <c r="A15" s="7">
        <f>SUBTOTAL(3,$B$4:B15)+0</f>
        <v>12</v>
      </c>
      <c r="B15" s="7" t="s">
        <v>15</v>
      </c>
      <c r="C15" s="7" t="s">
        <v>10</v>
      </c>
      <c r="D15" s="8" t="s">
        <v>34</v>
      </c>
      <c r="E15" s="9">
        <v>2000</v>
      </c>
      <c r="F15" s="12" t="s">
        <v>35</v>
      </c>
      <c r="G15" s="7">
        <v>1</v>
      </c>
    </row>
    <row r="16" spans="1:7" ht="33" customHeight="1" x14ac:dyDescent="0.15">
      <c r="A16" s="7">
        <f>SUBTOTAL(3,$B$4:B16)+0</f>
        <v>13</v>
      </c>
      <c r="B16" s="7" t="s">
        <v>15</v>
      </c>
      <c r="C16" s="7" t="s">
        <v>10</v>
      </c>
      <c r="D16" s="8" t="s">
        <v>36</v>
      </c>
      <c r="E16" s="9">
        <v>700</v>
      </c>
      <c r="F16" s="10" t="s">
        <v>37</v>
      </c>
      <c r="G16" s="7">
        <v>3</v>
      </c>
    </row>
    <row r="17" spans="1:7" ht="33" customHeight="1" x14ac:dyDescent="0.15">
      <c r="A17" s="7">
        <f>SUBTOTAL(3,$B$4:B17)+0</f>
        <v>14</v>
      </c>
      <c r="B17" s="7" t="s">
        <v>38</v>
      </c>
      <c r="C17" s="7" t="s">
        <v>10</v>
      </c>
      <c r="D17" s="8" t="s">
        <v>39</v>
      </c>
      <c r="E17" s="9">
        <v>2000</v>
      </c>
      <c r="F17" s="12" t="s">
        <v>40</v>
      </c>
      <c r="G17" s="7">
        <v>2</v>
      </c>
    </row>
    <row r="18" spans="1:7" ht="33" customHeight="1" x14ac:dyDescent="0.15">
      <c r="A18" s="7">
        <f>SUBTOTAL(3,$B$4:B18)+0</f>
        <v>15</v>
      </c>
      <c r="B18" s="7" t="s">
        <v>38</v>
      </c>
      <c r="C18" s="7" t="s">
        <v>10</v>
      </c>
      <c r="D18" s="8" t="s">
        <v>41</v>
      </c>
      <c r="E18" s="9">
        <v>2000</v>
      </c>
      <c r="F18" s="10" t="s">
        <v>42</v>
      </c>
      <c r="G18" s="7">
        <v>2</v>
      </c>
    </row>
    <row r="19" spans="1:7" ht="33" customHeight="1" x14ac:dyDescent="0.15">
      <c r="A19" s="7">
        <f>SUBTOTAL(3,$B$4:B19)+0</f>
        <v>16</v>
      </c>
      <c r="B19" s="7" t="s">
        <v>38</v>
      </c>
      <c r="C19" s="7" t="s">
        <v>10</v>
      </c>
      <c r="D19" s="8" t="s">
        <v>43</v>
      </c>
      <c r="E19" s="9">
        <v>2000</v>
      </c>
      <c r="F19" s="12" t="s">
        <v>44</v>
      </c>
      <c r="G19" s="7">
        <v>2</v>
      </c>
    </row>
    <row r="20" spans="1:7" ht="33" customHeight="1" x14ac:dyDescent="0.15">
      <c r="A20" s="7">
        <f>SUBTOTAL(3,$B$4:B20)+0</f>
        <v>17</v>
      </c>
      <c r="B20" s="7" t="s">
        <v>38</v>
      </c>
      <c r="C20" s="7" t="s">
        <v>10</v>
      </c>
      <c r="D20" s="8" t="s">
        <v>45</v>
      </c>
      <c r="E20" s="9">
        <v>2000</v>
      </c>
      <c r="F20" s="12" t="s">
        <v>46</v>
      </c>
      <c r="G20" s="7">
        <v>2</v>
      </c>
    </row>
    <row r="21" spans="1:7" ht="33" customHeight="1" x14ac:dyDescent="0.15">
      <c r="A21" s="7">
        <f>SUBTOTAL(3,$B$4:B21)+0</f>
        <v>18</v>
      </c>
      <c r="B21" s="7" t="s">
        <v>38</v>
      </c>
      <c r="C21" s="7" t="s">
        <v>10</v>
      </c>
      <c r="D21" s="8" t="s">
        <v>47</v>
      </c>
      <c r="E21" s="9">
        <v>1000</v>
      </c>
      <c r="F21" s="12" t="s">
        <v>48</v>
      </c>
      <c r="G21" s="7">
        <v>1</v>
      </c>
    </row>
    <row r="22" spans="1:7" ht="33" customHeight="1" x14ac:dyDescent="0.15">
      <c r="A22" s="7">
        <f>SUBTOTAL(3,$B$4:B22)+0</f>
        <v>19</v>
      </c>
      <c r="B22" s="7" t="s">
        <v>38</v>
      </c>
      <c r="C22" s="7" t="s">
        <v>10</v>
      </c>
      <c r="D22" s="8" t="s">
        <v>49</v>
      </c>
      <c r="E22" s="9">
        <v>1000</v>
      </c>
      <c r="F22" s="12" t="s">
        <v>50</v>
      </c>
      <c r="G22" s="7">
        <v>1</v>
      </c>
    </row>
    <row r="23" spans="1:7" ht="33" customHeight="1" x14ac:dyDescent="0.15">
      <c r="A23" s="7">
        <f>SUBTOTAL(3,$B$4:B23)+0</f>
        <v>20</v>
      </c>
      <c r="B23" s="7" t="s">
        <v>38</v>
      </c>
      <c r="C23" s="7" t="s">
        <v>10</v>
      </c>
      <c r="D23" s="8" t="s">
        <v>51</v>
      </c>
      <c r="E23" s="9">
        <v>4000</v>
      </c>
      <c r="F23" s="10" t="s">
        <v>52</v>
      </c>
      <c r="G23" s="7">
        <v>2</v>
      </c>
    </row>
    <row r="24" spans="1:7" ht="33" customHeight="1" x14ac:dyDescent="0.15">
      <c r="A24" s="7">
        <f>SUBTOTAL(3,$B$4:B24)+0</f>
        <v>21</v>
      </c>
      <c r="B24" s="7" t="s">
        <v>38</v>
      </c>
      <c r="C24" s="7" t="s">
        <v>10</v>
      </c>
      <c r="D24" s="8" t="s">
        <v>53</v>
      </c>
      <c r="E24" s="22">
        <v>1000</v>
      </c>
      <c r="F24" s="12" t="s">
        <v>54</v>
      </c>
      <c r="G24" s="23">
        <v>1</v>
      </c>
    </row>
    <row r="25" spans="1:7" ht="33" customHeight="1" x14ac:dyDescent="0.15">
      <c r="A25" s="7">
        <f>SUBTOTAL(3,$B$4:B25)+0</f>
        <v>22</v>
      </c>
      <c r="B25" s="7" t="s">
        <v>38</v>
      </c>
      <c r="C25" s="7" t="s">
        <v>55</v>
      </c>
      <c r="D25" s="8" t="s">
        <v>56</v>
      </c>
      <c r="E25" s="9">
        <v>1000</v>
      </c>
      <c r="F25" s="12" t="s">
        <v>57</v>
      </c>
      <c r="G25" s="7">
        <v>1</v>
      </c>
    </row>
    <row r="26" spans="1:7" ht="33" customHeight="1" x14ac:dyDescent="0.15">
      <c r="A26" s="24">
        <v>23</v>
      </c>
      <c r="B26" s="24" t="s">
        <v>58</v>
      </c>
      <c r="C26" s="24" t="s">
        <v>55</v>
      </c>
      <c r="D26" s="25" t="s">
        <v>59</v>
      </c>
      <c r="E26" s="22">
        <v>150</v>
      </c>
      <c r="F26" s="16" t="s">
        <v>60</v>
      </c>
      <c r="G26" s="23">
        <v>1</v>
      </c>
    </row>
    <row r="27" spans="1:7" ht="33" customHeight="1" x14ac:dyDescent="0.15">
      <c r="A27" s="7">
        <f>SUBTOTAL(3,$B$4:B27)+0</f>
        <v>24</v>
      </c>
      <c r="B27" s="7" t="s">
        <v>61</v>
      </c>
      <c r="C27" s="7" t="s">
        <v>62</v>
      </c>
      <c r="D27" s="8" t="s">
        <v>63</v>
      </c>
      <c r="E27" s="9">
        <v>40000</v>
      </c>
      <c r="F27" s="10" t="s">
        <v>64</v>
      </c>
      <c r="G27" s="7">
        <v>2</v>
      </c>
    </row>
    <row r="28" spans="1:7" ht="33" customHeight="1" x14ac:dyDescent="0.15">
      <c r="A28" s="7">
        <f>SUBTOTAL(3,$B$4:B28)+0</f>
        <v>25</v>
      </c>
      <c r="B28" s="7" t="s">
        <v>61</v>
      </c>
      <c r="C28" s="7" t="s">
        <v>62</v>
      </c>
      <c r="D28" s="8" t="s">
        <v>65</v>
      </c>
      <c r="E28" s="9">
        <v>145000</v>
      </c>
      <c r="F28" s="10" t="s">
        <v>66</v>
      </c>
      <c r="G28" s="7">
        <v>2</v>
      </c>
    </row>
    <row r="29" spans="1:7" ht="33" customHeight="1" x14ac:dyDescent="0.15">
      <c r="A29" s="7">
        <f>SUBTOTAL(3,$B$4:B29)+0</f>
        <v>26</v>
      </c>
      <c r="B29" s="7" t="s">
        <v>61</v>
      </c>
      <c r="C29" s="7" t="s">
        <v>62</v>
      </c>
      <c r="D29" s="8" t="s">
        <v>67</v>
      </c>
      <c r="E29" s="9">
        <v>90000</v>
      </c>
      <c r="F29" s="10" t="s">
        <v>68</v>
      </c>
      <c r="G29" s="7">
        <v>2</v>
      </c>
    </row>
    <row r="30" spans="1:7" ht="33" customHeight="1" x14ac:dyDescent="0.15">
      <c r="A30" s="7">
        <f>SUBTOTAL(3,$B$4:B30)+0</f>
        <v>27</v>
      </c>
      <c r="B30" s="7" t="s">
        <v>61</v>
      </c>
      <c r="C30" s="7" t="s">
        <v>62</v>
      </c>
      <c r="D30" s="8" t="s">
        <v>69</v>
      </c>
      <c r="E30" s="9">
        <v>40000</v>
      </c>
      <c r="F30" s="10" t="s">
        <v>70</v>
      </c>
      <c r="G30" s="7">
        <v>2</v>
      </c>
    </row>
    <row r="31" spans="1:7" ht="33" customHeight="1" x14ac:dyDescent="0.15">
      <c r="A31" s="7">
        <f>SUBTOTAL(3,$B$4:B31)+0</f>
        <v>28</v>
      </c>
      <c r="B31" s="7" t="s">
        <v>61</v>
      </c>
      <c r="C31" s="7" t="s">
        <v>62</v>
      </c>
      <c r="D31" s="8" t="s">
        <v>71</v>
      </c>
      <c r="E31" s="9">
        <v>60000</v>
      </c>
      <c r="F31" s="10" t="s">
        <v>72</v>
      </c>
      <c r="G31" s="7">
        <v>4</v>
      </c>
    </row>
    <row r="32" spans="1:7" ht="33" customHeight="1" x14ac:dyDescent="0.15">
      <c r="A32" s="7">
        <f>SUBTOTAL(3,$B$4:B32)+0</f>
        <v>29</v>
      </c>
      <c r="B32" s="7" t="s">
        <v>73</v>
      </c>
      <c r="C32" s="7" t="s">
        <v>62</v>
      </c>
      <c r="D32" s="8" t="s">
        <v>74</v>
      </c>
      <c r="E32" s="9">
        <v>24000</v>
      </c>
      <c r="F32" s="10" t="s">
        <v>75</v>
      </c>
      <c r="G32" s="7">
        <v>2</v>
      </c>
    </row>
    <row r="33" spans="1:7" ht="33" customHeight="1" x14ac:dyDescent="0.15">
      <c r="A33" s="7">
        <f>SUBTOTAL(3,$B$4:B33)+0</f>
        <v>30</v>
      </c>
      <c r="B33" s="7" t="s">
        <v>73</v>
      </c>
      <c r="C33" s="7" t="s">
        <v>62</v>
      </c>
      <c r="D33" s="8" t="s">
        <v>76</v>
      </c>
      <c r="E33" s="9">
        <v>8000</v>
      </c>
      <c r="F33" s="10" t="s">
        <v>77</v>
      </c>
      <c r="G33" s="7">
        <v>2</v>
      </c>
    </row>
    <row r="34" spans="1:7" ht="33" customHeight="1" x14ac:dyDescent="0.15">
      <c r="A34" s="7">
        <f>SUBTOTAL(3,$B$4:B34)+0</f>
        <v>31</v>
      </c>
      <c r="B34" s="7" t="s">
        <v>73</v>
      </c>
      <c r="C34" s="7" t="s">
        <v>62</v>
      </c>
      <c r="D34" s="8" t="s">
        <v>78</v>
      </c>
      <c r="E34" s="9">
        <v>6000</v>
      </c>
      <c r="F34" s="10" t="s">
        <v>79</v>
      </c>
      <c r="G34" s="7">
        <v>2</v>
      </c>
    </row>
    <row r="35" spans="1:7" ht="33" customHeight="1" x14ac:dyDescent="0.15">
      <c r="A35" s="7">
        <f>SUBTOTAL(3,$B$4:B35)+0</f>
        <v>32</v>
      </c>
      <c r="B35" s="7" t="s">
        <v>73</v>
      </c>
      <c r="C35" s="7" t="s">
        <v>62</v>
      </c>
      <c r="D35" s="8" t="s">
        <v>80</v>
      </c>
      <c r="E35" s="9">
        <v>4000</v>
      </c>
      <c r="F35" s="10" t="s">
        <v>81</v>
      </c>
      <c r="G35" s="7">
        <v>2</v>
      </c>
    </row>
    <row r="36" spans="1:7" ht="33" customHeight="1" x14ac:dyDescent="0.15">
      <c r="A36" s="7">
        <f>SUBTOTAL(3,$B$4:B36)+0</f>
        <v>33</v>
      </c>
      <c r="B36" s="7" t="s">
        <v>73</v>
      </c>
      <c r="C36" s="7" t="s">
        <v>62</v>
      </c>
      <c r="D36" s="8" t="s">
        <v>82</v>
      </c>
      <c r="E36" s="9">
        <v>11000</v>
      </c>
      <c r="F36" s="10" t="s">
        <v>83</v>
      </c>
      <c r="G36" s="7">
        <v>4</v>
      </c>
    </row>
    <row r="37" spans="1:7" ht="33" customHeight="1" x14ac:dyDescent="0.15">
      <c r="A37" s="7">
        <f>SUBTOTAL(3,$B$4:B37)+0</f>
        <v>34</v>
      </c>
      <c r="B37" s="7" t="s">
        <v>73</v>
      </c>
      <c r="C37" s="7" t="s">
        <v>62</v>
      </c>
      <c r="D37" s="8" t="s">
        <v>84</v>
      </c>
      <c r="E37" s="9">
        <v>500</v>
      </c>
      <c r="F37" s="10" t="s">
        <v>72</v>
      </c>
      <c r="G37" s="7">
        <v>1</v>
      </c>
    </row>
    <row r="38" spans="1:7" ht="33" customHeight="1" x14ac:dyDescent="0.15">
      <c r="A38" s="7">
        <f>SUBTOTAL(3,$B$4:B38)+0</f>
        <v>35</v>
      </c>
      <c r="B38" s="7" t="s">
        <v>73</v>
      </c>
      <c r="C38" s="7" t="s">
        <v>62</v>
      </c>
      <c r="D38" s="8" t="s">
        <v>85</v>
      </c>
      <c r="E38" s="9">
        <v>2000</v>
      </c>
      <c r="F38" s="10" t="s">
        <v>86</v>
      </c>
      <c r="G38" s="7">
        <v>2</v>
      </c>
    </row>
    <row r="39" spans="1:7" ht="33" customHeight="1" x14ac:dyDescent="0.15">
      <c r="A39" s="7">
        <f>SUBTOTAL(3,$B$4:B39)+0</f>
        <v>36</v>
      </c>
      <c r="B39" s="7" t="s">
        <v>73</v>
      </c>
      <c r="C39" s="7" t="s">
        <v>62</v>
      </c>
      <c r="D39" s="8" t="s">
        <v>87</v>
      </c>
      <c r="E39" s="9">
        <v>4000</v>
      </c>
      <c r="F39" s="10" t="s">
        <v>88</v>
      </c>
      <c r="G39" s="7">
        <v>2</v>
      </c>
    </row>
    <row r="40" spans="1:7" ht="33" customHeight="1" x14ac:dyDescent="0.15">
      <c r="A40" s="7">
        <f>SUBTOTAL(3,$B$4:B40)+0</f>
        <v>37</v>
      </c>
      <c r="B40" s="7" t="s">
        <v>73</v>
      </c>
      <c r="C40" s="7" t="s">
        <v>62</v>
      </c>
      <c r="D40" s="8" t="s">
        <v>89</v>
      </c>
      <c r="E40" s="9">
        <v>20000</v>
      </c>
      <c r="F40" s="10" t="s">
        <v>90</v>
      </c>
      <c r="G40" s="7">
        <v>2</v>
      </c>
    </row>
    <row r="41" spans="1:7" ht="33" customHeight="1" x14ac:dyDescent="0.15">
      <c r="A41" s="7">
        <f>SUBTOTAL(3,$B$4:B41)+0</f>
        <v>38</v>
      </c>
      <c r="B41" s="7" t="s">
        <v>73</v>
      </c>
      <c r="C41" s="7" t="s">
        <v>62</v>
      </c>
      <c r="D41" s="8" t="s">
        <v>91</v>
      </c>
      <c r="E41" s="9">
        <v>200</v>
      </c>
      <c r="F41" s="10" t="s">
        <v>92</v>
      </c>
      <c r="G41" s="7">
        <v>1</v>
      </c>
    </row>
    <row r="42" spans="1:7" ht="33" customHeight="1" x14ac:dyDescent="0.15">
      <c r="A42" s="7">
        <f>SUBTOTAL(3,$B$4:B42)+0</f>
        <v>39</v>
      </c>
      <c r="B42" s="7" t="s">
        <v>73</v>
      </c>
      <c r="C42" s="7" t="s">
        <v>62</v>
      </c>
      <c r="D42" s="25" t="s">
        <v>93</v>
      </c>
      <c r="E42" s="9">
        <v>12500</v>
      </c>
      <c r="F42" s="10" t="s">
        <v>94</v>
      </c>
      <c r="G42" s="7">
        <v>3</v>
      </c>
    </row>
    <row r="43" spans="1:7" ht="33" customHeight="1" x14ac:dyDescent="0.15">
      <c r="A43" s="7">
        <f>SUBTOTAL(3,$B$4:B43)+0</f>
        <v>40</v>
      </c>
      <c r="B43" s="7" t="s">
        <v>38</v>
      </c>
      <c r="C43" s="7" t="s">
        <v>62</v>
      </c>
      <c r="D43" s="18" t="s">
        <v>95</v>
      </c>
      <c r="E43" s="19">
        <v>500</v>
      </c>
      <c r="F43" s="20" t="s">
        <v>96</v>
      </c>
      <c r="G43" s="21">
        <v>1</v>
      </c>
    </row>
    <row r="44" spans="1:7" ht="33" customHeight="1" x14ac:dyDescent="0.15">
      <c r="A44" s="7">
        <f>SUBTOTAL(3,$B$4:B44)+0</f>
        <v>41</v>
      </c>
      <c r="B44" s="7" t="s">
        <v>38</v>
      </c>
      <c r="C44" s="7" t="s">
        <v>62</v>
      </c>
      <c r="D44" s="18" t="s">
        <v>97</v>
      </c>
      <c r="E44" s="19">
        <v>4000</v>
      </c>
      <c r="F44" s="20" t="s">
        <v>98</v>
      </c>
      <c r="G44" s="21">
        <v>2</v>
      </c>
    </row>
    <row r="45" spans="1:7" ht="33" customHeight="1" x14ac:dyDescent="0.15">
      <c r="A45" s="7">
        <f>SUBTOTAL(3,$B$4:B45)+0</f>
        <v>42</v>
      </c>
      <c r="B45" s="7" t="s">
        <v>38</v>
      </c>
      <c r="C45" s="7" t="s">
        <v>62</v>
      </c>
      <c r="D45" s="8" t="s">
        <v>99</v>
      </c>
      <c r="E45" s="9">
        <v>200</v>
      </c>
      <c r="F45" s="10" t="s">
        <v>100</v>
      </c>
      <c r="G45" s="7">
        <v>1</v>
      </c>
    </row>
    <row r="46" spans="1:7" ht="33" customHeight="1" x14ac:dyDescent="0.15">
      <c r="A46" s="7">
        <f>SUBTOTAL(3,$B$4:B46)+0</f>
        <v>43</v>
      </c>
      <c r="B46" s="7" t="s">
        <v>38</v>
      </c>
      <c r="C46" s="7" t="s">
        <v>62</v>
      </c>
      <c r="D46" s="18" t="s">
        <v>101</v>
      </c>
      <c r="E46" s="19">
        <v>400</v>
      </c>
      <c r="F46" s="20" t="s">
        <v>102</v>
      </c>
      <c r="G46" s="21">
        <v>1</v>
      </c>
    </row>
    <row r="47" spans="1:7" ht="33" customHeight="1" x14ac:dyDescent="0.15">
      <c r="A47" s="7">
        <f>SUBTOTAL(3,$B$4:B47)+0</f>
        <v>44</v>
      </c>
      <c r="B47" s="7" t="s">
        <v>38</v>
      </c>
      <c r="C47" s="7" t="s">
        <v>62</v>
      </c>
      <c r="D47" s="8" t="s">
        <v>103</v>
      </c>
      <c r="E47" s="9">
        <v>500</v>
      </c>
      <c r="F47" s="10" t="s">
        <v>104</v>
      </c>
      <c r="G47" s="7">
        <v>1</v>
      </c>
    </row>
    <row r="48" spans="1:7" ht="33" customHeight="1" x14ac:dyDescent="0.15">
      <c r="A48" s="7">
        <f>SUBTOTAL(3,$B$4:B48)+0</f>
        <v>45</v>
      </c>
      <c r="B48" s="7" t="s">
        <v>61</v>
      </c>
      <c r="C48" s="7" t="s">
        <v>105</v>
      </c>
      <c r="D48" s="8" t="s">
        <v>106</v>
      </c>
      <c r="E48" s="9">
        <v>200000</v>
      </c>
      <c r="F48" s="12" t="s">
        <v>107</v>
      </c>
      <c r="G48" s="7">
        <v>14</v>
      </c>
    </row>
    <row r="49" spans="1:7" ht="33" customHeight="1" x14ac:dyDescent="0.15">
      <c r="A49" s="7">
        <f>SUBTOTAL(3,$B$4:B49)+0</f>
        <v>46</v>
      </c>
      <c r="B49" s="7" t="s">
        <v>61</v>
      </c>
      <c r="C49" s="7" t="s">
        <v>105</v>
      </c>
      <c r="D49" s="8" t="s">
        <v>108</v>
      </c>
      <c r="E49" s="9">
        <v>100000</v>
      </c>
      <c r="F49" s="12" t="s">
        <v>109</v>
      </c>
      <c r="G49" s="7">
        <v>4</v>
      </c>
    </row>
    <row r="50" spans="1:7" ht="33" customHeight="1" x14ac:dyDescent="0.15">
      <c r="A50" s="7">
        <f>SUBTOTAL(3,$B$4:B50)+0</f>
        <v>47</v>
      </c>
      <c r="B50" s="7" t="s">
        <v>61</v>
      </c>
      <c r="C50" s="7" t="s">
        <v>105</v>
      </c>
      <c r="D50" s="8" t="s">
        <v>110</v>
      </c>
      <c r="E50" s="9">
        <v>80000</v>
      </c>
      <c r="F50" s="12" t="s">
        <v>111</v>
      </c>
      <c r="G50" s="7">
        <v>4</v>
      </c>
    </row>
    <row r="51" spans="1:7" ht="33" customHeight="1" x14ac:dyDescent="0.15">
      <c r="A51" s="7">
        <f>SUBTOTAL(3,$B$4:B51)+0</f>
        <v>48</v>
      </c>
      <c r="B51" s="7" t="s">
        <v>73</v>
      </c>
      <c r="C51" s="21" t="s">
        <v>105</v>
      </c>
      <c r="D51" s="18" t="s">
        <v>112</v>
      </c>
      <c r="E51" s="19">
        <v>3000</v>
      </c>
      <c r="F51" s="12" t="s">
        <v>113</v>
      </c>
      <c r="G51" s="21">
        <v>2</v>
      </c>
    </row>
    <row r="52" spans="1:7" ht="33" customHeight="1" x14ac:dyDescent="0.15">
      <c r="A52" s="7">
        <f>SUBTOTAL(3,$B$4:B52)+0</f>
        <v>49</v>
      </c>
      <c r="B52" s="7" t="s">
        <v>73</v>
      </c>
      <c r="C52" s="7" t="s">
        <v>105</v>
      </c>
      <c r="D52" s="8" t="s">
        <v>114</v>
      </c>
      <c r="E52" s="9">
        <v>1000</v>
      </c>
      <c r="F52" s="12" t="s">
        <v>115</v>
      </c>
      <c r="G52" s="7">
        <v>1</v>
      </c>
    </row>
    <row r="53" spans="1:7" ht="33" customHeight="1" x14ac:dyDescent="0.15">
      <c r="A53" s="7">
        <f>SUBTOTAL(3,$B$4:B53)+0</f>
        <v>50</v>
      </c>
      <c r="B53" s="7" t="s">
        <v>73</v>
      </c>
      <c r="C53" s="7" t="s">
        <v>105</v>
      </c>
      <c r="D53" s="8" t="s">
        <v>116</v>
      </c>
      <c r="E53" s="9">
        <v>4000</v>
      </c>
      <c r="F53" s="12" t="s">
        <v>117</v>
      </c>
      <c r="G53" s="7">
        <v>2</v>
      </c>
    </row>
    <row r="54" spans="1:7" ht="33" customHeight="1" x14ac:dyDescent="0.15">
      <c r="A54" s="7">
        <f>SUBTOTAL(3,$B$4:B54)+0</f>
        <v>51</v>
      </c>
      <c r="B54" s="7" t="s">
        <v>73</v>
      </c>
      <c r="C54" s="7" t="s">
        <v>105</v>
      </c>
      <c r="D54" s="8" t="s">
        <v>118</v>
      </c>
      <c r="E54" s="9">
        <v>6000</v>
      </c>
      <c r="F54" s="12" t="s">
        <v>119</v>
      </c>
      <c r="G54" s="7">
        <v>2</v>
      </c>
    </row>
    <row r="55" spans="1:7" ht="33" customHeight="1" x14ac:dyDescent="0.15">
      <c r="A55" s="7">
        <f>SUBTOTAL(3,$B$4:B55)+0</f>
        <v>52</v>
      </c>
      <c r="B55" s="7" t="s">
        <v>73</v>
      </c>
      <c r="C55" s="7" t="s">
        <v>105</v>
      </c>
      <c r="D55" s="18" t="s">
        <v>120</v>
      </c>
      <c r="E55" s="19">
        <v>450</v>
      </c>
      <c r="F55" s="12" t="s">
        <v>121</v>
      </c>
      <c r="G55" s="13">
        <v>1</v>
      </c>
    </row>
    <row r="56" spans="1:7" ht="33" customHeight="1" x14ac:dyDescent="0.15">
      <c r="A56" s="7">
        <f>SUBTOTAL(3,$B$4:B56)+0</f>
        <v>53</v>
      </c>
      <c r="B56" s="7" t="s">
        <v>61</v>
      </c>
      <c r="C56" s="7" t="s">
        <v>122</v>
      </c>
      <c r="D56" s="8" t="s">
        <v>123</v>
      </c>
      <c r="E56" s="9">
        <v>170000</v>
      </c>
      <c r="F56" s="12" t="s">
        <v>124</v>
      </c>
      <c r="G56" s="7">
        <v>6</v>
      </c>
    </row>
    <row r="57" spans="1:7" ht="33" customHeight="1" x14ac:dyDescent="0.15">
      <c r="A57" s="7">
        <f>SUBTOTAL(3,$B$4:B57)+0</f>
        <v>54</v>
      </c>
      <c r="B57" s="7" t="s">
        <v>61</v>
      </c>
      <c r="C57" s="7" t="s">
        <v>122</v>
      </c>
      <c r="D57" s="8" t="s">
        <v>125</v>
      </c>
      <c r="E57" s="9">
        <v>100000</v>
      </c>
      <c r="F57" s="12" t="s">
        <v>126</v>
      </c>
      <c r="G57" s="7">
        <v>4</v>
      </c>
    </row>
    <row r="58" spans="1:7" ht="33" customHeight="1" x14ac:dyDescent="0.15">
      <c r="A58" s="7">
        <f>SUBTOTAL(3,$B$4:B58)+0</f>
        <v>55</v>
      </c>
      <c r="B58" s="7" t="s">
        <v>73</v>
      </c>
      <c r="C58" s="7" t="s">
        <v>122</v>
      </c>
      <c r="D58" s="26" t="s">
        <v>127</v>
      </c>
      <c r="E58" s="9">
        <v>2000</v>
      </c>
      <c r="F58" s="12" t="s">
        <v>128</v>
      </c>
      <c r="G58" s="7">
        <v>1</v>
      </c>
    </row>
    <row r="59" spans="1:7" ht="33" customHeight="1" x14ac:dyDescent="0.15">
      <c r="A59" s="7">
        <f>SUBTOTAL(3,$B$4:B59)+0</f>
        <v>56</v>
      </c>
      <c r="B59" s="7" t="s">
        <v>15</v>
      </c>
      <c r="C59" s="7" t="s">
        <v>122</v>
      </c>
      <c r="D59" s="8" t="s">
        <v>129</v>
      </c>
      <c r="E59" s="9">
        <v>2000</v>
      </c>
      <c r="F59" s="12" t="s">
        <v>130</v>
      </c>
      <c r="G59" s="7">
        <v>1</v>
      </c>
    </row>
    <row r="60" spans="1:7" ht="33" customHeight="1" x14ac:dyDescent="0.15">
      <c r="A60" s="7">
        <f>SUBTOTAL(3,$B$4:B60)+0</f>
        <v>57</v>
      </c>
      <c r="B60" s="7" t="s">
        <v>15</v>
      </c>
      <c r="C60" s="7" t="s">
        <v>122</v>
      </c>
      <c r="D60" s="8" t="s">
        <v>131</v>
      </c>
      <c r="E60" s="9">
        <v>1400</v>
      </c>
      <c r="F60" s="10" t="s">
        <v>132</v>
      </c>
      <c r="G60" s="7">
        <v>1</v>
      </c>
    </row>
    <row r="61" spans="1:7" ht="33" customHeight="1" x14ac:dyDescent="0.15">
      <c r="A61" s="7">
        <f>SUBTOTAL(3,$B$4:B61)+0</f>
        <v>58</v>
      </c>
      <c r="B61" s="7" t="s">
        <v>15</v>
      </c>
      <c r="C61" s="7" t="s">
        <v>122</v>
      </c>
      <c r="D61" s="8" t="s">
        <v>133</v>
      </c>
      <c r="E61" s="9">
        <v>1200</v>
      </c>
      <c r="F61" s="12" t="s">
        <v>134</v>
      </c>
      <c r="G61" s="7">
        <v>1</v>
      </c>
    </row>
    <row r="62" spans="1:7" ht="33" customHeight="1" x14ac:dyDescent="0.15">
      <c r="A62" s="13">
        <f>SUBTOTAL(3,$B$4:B62)+0</f>
        <v>59</v>
      </c>
      <c r="B62" s="13" t="s">
        <v>15</v>
      </c>
      <c r="C62" s="13" t="s">
        <v>122</v>
      </c>
      <c r="D62" s="14" t="s">
        <v>135</v>
      </c>
      <c r="E62" s="15">
        <v>6100</v>
      </c>
      <c r="F62" s="16" t="s">
        <v>136</v>
      </c>
      <c r="G62" s="13">
        <v>2</v>
      </c>
    </row>
    <row r="63" spans="1:7" ht="33" customHeight="1" x14ac:dyDescent="0.15">
      <c r="A63" s="7">
        <f>SUBTOTAL(3,$B$4:B63)+0</f>
        <v>60</v>
      </c>
      <c r="B63" s="7" t="s">
        <v>15</v>
      </c>
      <c r="C63" s="7" t="s">
        <v>122</v>
      </c>
      <c r="D63" s="8" t="s">
        <v>137</v>
      </c>
      <c r="E63" s="9">
        <v>2000</v>
      </c>
      <c r="F63" s="12" t="s">
        <v>138</v>
      </c>
      <c r="G63" s="7">
        <v>1</v>
      </c>
    </row>
    <row r="64" spans="1:7" ht="33" customHeight="1" x14ac:dyDescent="0.15">
      <c r="A64" s="7">
        <f>SUBTOTAL(3,$B$4:B64)+0</f>
        <v>61</v>
      </c>
      <c r="B64" s="7" t="s">
        <v>9</v>
      </c>
      <c r="C64" s="7" t="s">
        <v>139</v>
      </c>
      <c r="D64" s="8" t="s">
        <v>140</v>
      </c>
      <c r="E64" s="9">
        <v>60000</v>
      </c>
      <c r="F64" s="10" t="s">
        <v>141</v>
      </c>
      <c r="G64" s="7">
        <v>3</v>
      </c>
    </row>
    <row r="65" spans="1:7" ht="33" customHeight="1" x14ac:dyDescent="0.15">
      <c r="A65" s="7">
        <f>SUBTOTAL(3,$B$4:B65)+0</f>
        <v>62</v>
      </c>
      <c r="B65" s="7" t="s">
        <v>9</v>
      </c>
      <c r="C65" s="7" t="s">
        <v>139</v>
      </c>
      <c r="D65" s="8" t="s">
        <v>142</v>
      </c>
      <c r="E65" s="9">
        <v>40000</v>
      </c>
      <c r="F65" s="10" t="s">
        <v>143</v>
      </c>
      <c r="G65" s="7">
        <v>3</v>
      </c>
    </row>
    <row r="66" spans="1:7" ht="33" customHeight="1" x14ac:dyDescent="0.15">
      <c r="A66" s="7">
        <f>SUBTOTAL(3,$B$4:B66)+0</f>
        <v>63</v>
      </c>
      <c r="B66" s="7" t="s">
        <v>9</v>
      </c>
      <c r="C66" s="7" t="s">
        <v>139</v>
      </c>
      <c r="D66" s="8" t="s">
        <v>144</v>
      </c>
      <c r="E66" s="9">
        <v>50000</v>
      </c>
      <c r="F66" s="10" t="s">
        <v>145</v>
      </c>
      <c r="G66" s="7">
        <v>3</v>
      </c>
    </row>
    <row r="67" spans="1:7" ht="33" customHeight="1" x14ac:dyDescent="0.15">
      <c r="A67" s="7">
        <f>SUBTOTAL(3,$B$4:B67)+0</f>
        <v>64</v>
      </c>
      <c r="B67" s="7" t="s">
        <v>9</v>
      </c>
      <c r="C67" s="7" t="s">
        <v>139</v>
      </c>
      <c r="D67" s="8" t="s">
        <v>146</v>
      </c>
      <c r="E67" s="9">
        <v>30000</v>
      </c>
      <c r="F67" s="10" t="s">
        <v>147</v>
      </c>
      <c r="G67" s="7">
        <v>3</v>
      </c>
    </row>
    <row r="68" spans="1:7" ht="33" customHeight="1" x14ac:dyDescent="0.15">
      <c r="A68" s="7">
        <f>SUBTOTAL(3,$B$4:B68)+0</f>
        <v>65</v>
      </c>
      <c r="B68" s="7" t="s">
        <v>15</v>
      </c>
      <c r="C68" s="7" t="s">
        <v>139</v>
      </c>
      <c r="D68" s="8" t="s">
        <v>148</v>
      </c>
      <c r="E68" s="9">
        <v>500</v>
      </c>
      <c r="F68" s="10" t="s">
        <v>149</v>
      </c>
      <c r="G68" s="7">
        <v>1</v>
      </c>
    </row>
    <row r="69" spans="1:7" ht="33" customHeight="1" x14ac:dyDescent="0.15">
      <c r="A69" s="7">
        <f>SUBTOTAL(3,$B$4:B69)+0</f>
        <v>66</v>
      </c>
      <c r="B69" s="7" t="s">
        <v>15</v>
      </c>
      <c r="C69" s="7" t="s">
        <v>139</v>
      </c>
      <c r="D69" s="8" t="s">
        <v>150</v>
      </c>
      <c r="E69" s="9">
        <v>120</v>
      </c>
      <c r="F69" s="10" t="s">
        <v>151</v>
      </c>
      <c r="G69" s="7">
        <v>1</v>
      </c>
    </row>
    <row r="70" spans="1:7" ht="33" customHeight="1" x14ac:dyDescent="0.15">
      <c r="A70" s="7">
        <f>SUBTOTAL(3,$B$4:B70)+0</f>
        <v>67</v>
      </c>
      <c r="B70" s="7" t="s">
        <v>15</v>
      </c>
      <c r="C70" s="7" t="s">
        <v>139</v>
      </c>
      <c r="D70" s="8" t="s">
        <v>152</v>
      </c>
      <c r="E70" s="9">
        <v>500</v>
      </c>
      <c r="F70" s="10" t="s">
        <v>153</v>
      </c>
      <c r="G70" s="7">
        <v>1</v>
      </c>
    </row>
    <row r="71" spans="1:7" ht="33" customHeight="1" x14ac:dyDescent="0.15">
      <c r="A71" s="7">
        <f>SUBTOTAL(3,$B$4:B71)+0</f>
        <v>68</v>
      </c>
      <c r="B71" s="7" t="s">
        <v>15</v>
      </c>
      <c r="C71" s="7" t="s">
        <v>139</v>
      </c>
      <c r="D71" s="8" t="s">
        <v>154</v>
      </c>
      <c r="E71" s="9">
        <v>12000</v>
      </c>
      <c r="F71" s="10" t="s">
        <v>155</v>
      </c>
      <c r="G71" s="7">
        <v>2</v>
      </c>
    </row>
    <row r="72" spans="1:7" ht="33" customHeight="1" x14ac:dyDescent="0.15">
      <c r="A72" s="7">
        <f>SUBTOTAL(3,$B$4:B72)+0</f>
        <v>69</v>
      </c>
      <c r="B72" s="7" t="s">
        <v>9</v>
      </c>
      <c r="C72" s="7" t="s">
        <v>156</v>
      </c>
      <c r="D72" s="8" t="s">
        <v>157</v>
      </c>
      <c r="E72" s="9">
        <v>60000</v>
      </c>
      <c r="F72" s="27" t="s">
        <v>158</v>
      </c>
      <c r="G72" s="7">
        <v>3</v>
      </c>
    </row>
    <row r="73" spans="1:7" ht="33" customHeight="1" x14ac:dyDescent="0.15">
      <c r="A73" s="7">
        <f>SUBTOTAL(3,$B$4:B73)+0</f>
        <v>70</v>
      </c>
      <c r="B73" s="7" t="s">
        <v>9</v>
      </c>
      <c r="C73" s="7" t="s">
        <v>156</v>
      </c>
      <c r="D73" s="8" t="s">
        <v>159</v>
      </c>
      <c r="E73" s="9">
        <v>60000</v>
      </c>
      <c r="F73" s="27" t="s">
        <v>160</v>
      </c>
      <c r="G73" s="7">
        <v>4</v>
      </c>
    </row>
    <row r="74" spans="1:7" ht="33" customHeight="1" x14ac:dyDescent="0.15">
      <c r="A74" s="7">
        <f>SUBTOTAL(3,$B$4:B74)+0</f>
        <v>71</v>
      </c>
      <c r="B74" s="7" t="s">
        <v>9</v>
      </c>
      <c r="C74" s="7" t="s">
        <v>156</v>
      </c>
      <c r="D74" s="8" t="s">
        <v>161</v>
      </c>
      <c r="E74" s="9">
        <v>110000</v>
      </c>
      <c r="F74" s="27" t="s">
        <v>162</v>
      </c>
      <c r="G74" s="7">
        <v>7</v>
      </c>
    </row>
    <row r="75" spans="1:7" ht="33" customHeight="1" x14ac:dyDescent="0.15">
      <c r="A75" s="7">
        <f>SUBTOTAL(3,$B$4:B75)+0</f>
        <v>72</v>
      </c>
      <c r="B75" s="7" t="s">
        <v>9</v>
      </c>
      <c r="C75" s="7" t="s">
        <v>156</v>
      </c>
      <c r="D75" s="8" t="s">
        <v>163</v>
      </c>
      <c r="E75" s="9">
        <v>60000</v>
      </c>
      <c r="F75" s="27" t="s">
        <v>164</v>
      </c>
      <c r="G75" s="7">
        <v>3</v>
      </c>
    </row>
    <row r="76" spans="1:7" ht="33" customHeight="1" x14ac:dyDescent="0.15">
      <c r="A76" s="7">
        <f>SUBTOTAL(3,$B$4:B76)+0</f>
        <v>73</v>
      </c>
      <c r="B76" s="7" t="s">
        <v>9</v>
      </c>
      <c r="C76" s="7" t="s">
        <v>156</v>
      </c>
      <c r="D76" s="8" t="s">
        <v>165</v>
      </c>
      <c r="E76" s="9">
        <v>22000</v>
      </c>
      <c r="F76" s="27" t="s">
        <v>166</v>
      </c>
      <c r="G76" s="7">
        <v>2</v>
      </c>
    </row>
    <row r="77" spans="1:7" ht="33" customHeight="1" x14ac:dyDescent="0.15">
      <c r="A77" s="7">
        <f>SUBTOTAL(3,$B$4:B77)+0</f>
        <v>74</v>
      </c>
      <c r="B77" s="7" t="s">
        <v>9</v>
      </c>
      <c r="C77" s="7" t="s">
        <v>156</v>
      </c>
      <c r="D77" s="8" t="s">
        <v>167</v>
      </c>
      <c r="E77" s="9">
        <v>30000</v>
      </c>
      <c r="F77" s="27" t="s">
        <v>168</v>
      </c>
      <c r="G77" s="7">
        <v>3</v>
      </c>
    </row>
    <row r="78" spans="1:7" ht="33" customHeight="1" x14ac:dyDescent="0.15">
      <c r="A78" s="7">
        <f>SUBTOTAL(3,$B$4:B78)+0</f>
        <v>75</v>
      </c>
      <c r="B78" s="7" t="s">
        <v>15</v>
      </c>
      <c r="C78" s="7" t="s">
        <v>156</v>
      </c>
      <c r="D78" s="18" t="s">
        <v>169</v>
      </c>
      <c r="E78" s="19">
        <v>2500</v>
      </c>
      <c r="F78" s="28" t="s">
        <v>170</v>
      </c>
      <c r="G78" s="21">
        <v>2</v>
      </c>
    </row>
    <row r="79" spans="1:7" ht="33" customHeight="1" x14ac:dyDescent="0.15">
      <c r="A79" s="7">
        <f>SUBTOTAL(3,$B$4:B79)+0</f>
        <v>76</v>
      </c>
      <c r="B79" s="7" t="s">
        <v>15</v>
      </c>
      <c r="C79" s="7" t="s">
        <v>156</v>
      </c>
      <c r="D79" s="8" t="s">
        <v>171</v>
      </c>
      <c r="E79" s="9">
        <v>2500</v>
      </c>
      <c r="F79" s="27" t="s">
        <v>172</v>
      </c>
      <c r="G79" s="7">
        <v>2</v>
      </c>
    </row>
    <row r="80" spans="1:7" ht="33" customHeight="1" x14ac:dyDescent="0.15">
      <c r="A80" s="7">
        <f>SUBTOTAL(3,$B$4:B80)+0</f>
        <v>77</v>
      </c>
      <c r="B80" s="7" t="s">
        <v>15</v>
      </c>
      <c r="C80" s="7" t="s">
        <v>156</v>
      </c>
      <c r="D80" s="8" t="s">
        <v>173</v>
      </c>
      <c r="E80" s="9">
        <v>3000</v>
      </c>
      <c r="F80" s="27" t="s">
        <v>174</v>
      </c>
      <c r="G80" s="7">
        <v>2</v>
      </c>
    </row>
    <row r="81" spans="1:7" ht="33" customHeight="1" x14ac:dyDescent="0.15">
      <c r="A81" s="7">
        <f>SUBTOTAL(3,$B$4:B81)+0</f>
        <v>78</v>
      </c>
      <c r="B81" s="7" t="s">
        <v>15</v>
      </c>
      <c r="C81" s="7" t="s">
        <v>156</v>
      </c>
      <c r="D81" s="8" t="s">
        <v>175</v>
      </c>
      <c r="E81" s="9">
        <v>2500</v>
      </c>
      <c r="F81" s="27" t="s">
        <v>176</v>
      </c>
      <c r="G81" s="7">
        <v>2</v>
      </c>
    </row>
    <row r="82" spans="1:7" ht="33" customHeight="1" x14ac:dyDescent="0.15">
      <c r="A82" s="7">
        <f>SUBTOTAL(3,$B$4:B82)+0</f>
        <v>79</v>
      </c>
      <c r="B82" s="7" t="s">
        <v>15</v>
      </c>
      <c r="C82" s="7" t="s">
        <v>156</v>
      </c>
      <c r="D82" s="8" t="s">
        <v>177</v>
      </c>
      <c r="E82" s="9">
        <v>1000</v>
      </c>
      <c r="F82" s="27" t="s">
        <v>178</v>
      </c>
      <c r="G82" s="7">
        <v>2</v>
      </c>
    </row>
    <row r="83" spans="1:7" ht="33" customHeight="1" x14ac:dyDescent="0.15">
      <c r="A83" s="7">
        <f>SUBTOTAL(3,$B$4:B83)+0</f>
        <v>80</v>
      </c>
      <c r="B83" s="7" t="s">
        <v>15</v>
      </c>
      <c r="C83" s="7" t="s">
        <v>156</v>
      </c>
      <c r="D83" s="8" t="s">
        <v>179</v>
      </c>
      <c r="E83" s="9">
        <v>1000</v>
      </c>
      <c r="F83" s="27" t="s">
        <v>180</v>
      </c>
      <c r="G83" s="7">
        <v>2</v>
      </c>
    </row>
    <row r="84" spans="1:7" ht="33" customHeight="1" x14ac:dyDescent="0.15">
      <c r="A84" s="7">
        <f>SUBTOTAL(3,$B$4:B84)+0</f>
        <v>81</v>
      </c>
      <c r="B84" s="7" t="s">
        <v>15</v>
      </c>
      <c r="C84" s="7" t="s">
        <v>156</v>
      </c>
      <c r="D84" s="18" t="s">
        <v>181</v>
      </c>
      <c r="E84" s="19">
        <v>2000</v>
      </c>
      <c r="F84" s="28" t="s">
        <v>182</v>
      </c>
      <c r="G84" s="21">
        <v>2</v>
      </c>
    </row>
    <row r="85" spans="1:7" ht="33" customHeight="1" x14ac:dyDescent="0.15">
      <c r="A85" s="7">
        <f>SUBTOTAL(3,$B$4:B85)+0</f>
        <v>82</v>
      </c>
      <c r="B85" s="7" t="s">
        <v>15</v>
      </c>
      <c r="C85" s="7" t="s">
        <v>156</v>
      </c>
      <c r="D85" s="8" t="s">
        <v>183</v>
      </c>
      <c r="E85" s="9">
        <v>6000</v>
      </c>
      <c r="F85" s="27" t="s">
        <v>184</v>
      </c>
      <c r="G85" s="7">
        <v>2</v>
      </c>
    </row>
    <row r="86" spans="1:7" ht="33" customHeight="1" x14ac:dyDescent="0.15">
      <c r="A86" s="7">
        <f>SUBTOTAL(3,$B$4:B86)+0</f>
        <v>83</v>
      </c>
      <c r="B86" s="7" t="s">
        <v>15</v>
      </c>
      <c r="C86" s="7" t="s">
        <v>156</v>
      </c>
      <c r="D86" s="8" t="s">
        <v>185</v>
      </c>
      <c r="E86" s="9">
        <v>3500</v>
      </c>
      <c r="F86" s="27" t="s">
        <v>186</v>
      </c>
      <c r="G86" s="7">
        <v>2</v>
      </c>
    </row>
    <row r="87" spans="1:7" ht="33" customHeight="1" x14ac:dyDescent="0.15">
      <c r="A87" s="7">
        <f>SUBTOTAL(3,$B$4:B87)+0</f>
        <v>84</v>
      </c>
      <c r="B87" s="7" t="s">
        <v>15</v>
      </c>
      <c r="C87" s="7" t="s">
        <v>156</v>
      </c>
      <c r="D87" s="8" t="s">
        <v>187</v>
      </c>
      <c r="E87" s="9">
        <v>20000</v>
      </c>
      <c r="F87" s="27" t="s">
        <v>188</v>
      </c>
      <c r="G87" s="7">
        <v>2</v>
      </c>
    </row>
    <row r="88" spans="1:7" ht="33" customHeight="1" x14ac:dyDescent="0.15">
      <c r="A88" s="7">
        <f>SUBTOTAL(3,$B$4:B88)+0</f>
        <v>85</v>
      </c>
      <c r="B88" s="7" t="s">
        <v>15</v>
      </c>
      <c r="C88" s="7" t="s">
        <v>156</v>
      </c>
      <c r="D88" s="18" t="s">
        <v>189</v>
      </c>
      <c r="E88" s="9">
        <v>10000</v>
      </c>
      <c r="F88" s="27" t="s">
        <v>190</v>
      </c>
      <c r="G88" s="21">
        <v>2</v>
      </c>
    </row>
    <row r="89" spans="1:7" ht="33" customHeight="1" x14ac:dyDescent="0.15">
      <c r="A89" s="7">
        <f>SUBTOTAL(3,$B$4:B89)+0</f>
        <v>86</v>
      </c>
      <c r="B89" s="7" t="s">
        <v>15</v>
      </c>
      <c r="C89" s="7" t="s">
        <v>156</v>
      </c>
      <c r="D89" s="18" t="s">
        <v>191</v>
      </c>
      <c r="E89" s="9">
        <v>12000</v>
      </c>
      <c r="F89" s="27" t="s">
        <v>192</v>
      </c>
      <c r="G89" s="21">
        <v>2</v>
      </c>
    </row>
    <row r="90" spans="1:7" ht="33" customHeight="1" x14ac:dyDescent="0.15">
      <c r="A90" s="7">
        <f>SUBTOTAL(3,$B$4:B90)+0</f>
        <v>87</v>
      </c>
      <c r="B90" s="7" t="s">
        <v>38</v>
      </c>
      <c r="C90" s="7" t="s">
        <v>156</v>
      </c>
      <c r="D90" s="8" t="s">
        <v>193</v>
      </c>
      <c r="E90" s="9">
        <v>500</v>
      </c>
      <c r="F90" s="27" t="s">
        <v>174</v>
      </c>
      <c r="G90" s="7">
        <v>1</v>
      </c>
    </row>
    <row r="91" spans="1:7" ht="33" customHeight="1" x14ac:dyDescent="0.15">
      <c r="A91" s="7">
        <f>SUBTOTAL(3,$B$4:B91)+0</f>
        <v>88</v>
      </c>
      <c r="B91" s="7" t="s">
        <v>38</v>
      </c>
      <c r="C91" s="7" t="s">
        <v>156</v>
      </c>
      <c r="D91" s="8" t="s">
        <v>194</v>
      </c>
      <c r="E91" s="9">
        <v>2500</v>
      </c>
      <c r="F91" s="27" t="s">
        <v>195</v>
      </c>
      <c r="G91" s="7">
        <v>2</v>
      </c>
    </row>
    <row r="92" spans="1:7" ht="33" customHeight="1" x14ac:dyDescent="0.15">
      <c r="A92" s="7">
        <f>SUBTOTAL(3,$B$4:B92)+0</f>
        <v>89</v>
      </c>
      <c r="B92" s="7" t="s">
        <v>38</v>
      </c>
      <c r="C92" s="7" t="s">
        <v>156</v>
      </c>
      <c r="D92" s="8" t="s">
        <v>196</v>
      </c>
      <c r="E92" s="9">
        <v>2000</v>
      </c>
      <c r="F92" s="27" t="s">
        <v>197</v>
      </c>
      <c r="G92" s="7">
        <v>2</v>
      </c>
    </row>
    <row r="93" spans="1:7" ht="33" customHeight="1" x14ac:dyDescent="0.15">
      <c r="A93" s="7">
        <f>SUBTOTAL(3,$B$4:B93)+0</f>
        <v>90</v>
      </c>
      <c r="B93" s="7" t="s">
        <v>9</v>
      </c>
      <c r="C93" s="21" t="s">
        <v>198</v>
      </c>
      <c r="D93" s="18" t="s">
        <v>199</v>
      </c>
      <c r="E93" s="19">
        <v>12000</v>
      </c>
      <c r="F93" s="29" t="s">
        <v>200</v>
      </c>
      <c r="G93" s="21">
        <v>2</v>
      </c>
    </row>
    <row r="94" spans="1:7" ht="33" customHeight="1" x14ac:dyDescent="0.15">
      <c r="A94" s="7">
        <f>SUBTOTAL(3,$B$4:B94)+0</f>
        <v>91</v>
      </c>
      <c r="B94" s="7" t="s">
        <v>9</v>
      </c>
      <c r="C94" s="21" t="s">
        <v>198</v>
      </c>
      <c r="D94" s="18" t="s">
        <v>201</v>
      </c>
      <c r="E94" s="19">
        <v>30000</v>
      </c>
      <c r="F94" s="29" t="s">
        <v>202</v>
      </c>
      <c r="G94" s="21">
        <v>2</v>
      </c>
    </row>
    <row r="95" spans="1:7" ht="33" customHeight="1" x14ac:dyDescent="0.15">
      <c r="A95" s="7">
        <f>SUBTOTAL(3,$B$4:B95)+0</f>
        <v>92</v>
      </c>
      <c r="B95" s="7" t="s">
        <v>9</v>
      </c>
      <c r="C95" s="21" t="s">
        <v>198</v>
      </c>
      <c r="D95" s="18" t="s">
        <v>203</v>
      </c>
      <c r="E95" s="19">
        <v>12000</v>
      </c>
      <c r="F95" s="30" t="s">
        <v>204</v>
      </c>
      <c r="G95" s="21">
        <v>2</v>
      </c>
    </row>
    <row r="96" spans="1:7" ht="33" customHeight="1" x14ac:dyDescent="0.15">
      <c r="A96" s="7">
        <f>SUBTOTAL(3,$B$4:B96)+0</f>
        <v>93</v>
      </c>
      <c r="B96" s="7" t="s">
        <v>9</v>
      </c>
      <c r="C96" s="7" t="s">
        <v>198</v>
      </c>
      <c r="D96" s="8" t="s">
        <v>205</v>
      </c>
      <c r="E96" s="9">
        <v>80000</v>
      </c>
      <c r="F96" s="30" t="s">
        <v>206</v>
      </c>
      <c r="G96" s="7">
        <v>4</v>
      </c>
    </row>
    <row r="97" spans="1:7" ht="33" customHeight="1" x14ac:dyDescent="0.15">
      <c r="A97" s="7">
        <f>SUBTOTAL(3,$B$4:B97)+0</f>
        <v>94</v>
      </c>
      <c r="B97" s="7" t="s">
        <v>9</v>
      </c>
      <c r="C97" s="7" t="s">
        <v>198</v>
      </c>
      <c r="D97" s="8" t="s">
        <v>207</v>
      </c>
      <c r="E97" s="9">
        <v>50000</v>
      </c>
      <c r="F97" s="30" t="s">
        <v>208</v>
      </c>
      <c r="G97" s="7">
        <v>3</v>
      </c>
    </row>
    <row r="98" spans="1:7" ht="33" customHeight="1" x14ac:dyDescent="0.15">
      <c r="A98" s="7">
        <f>SUBTOTAL(3,$B$4:B98)+0</f>
        <v>95</v>
      </c>
      <c r="B98" s="7" t="s">
        <v>9</v>
      </c>
      <c r="C98" s="7" t="s">
        <v>198</v>
      </c>
      <c r="D98" s="8" t="s">
        <v>209</v>
      </c>
      <c r="E98" s="9">
        <v>60000</v>
      </c>
      <c r="F98" s="30" t="s">
        <v>210</v>
      </c>
      <c r="G98" s="7">
        <v>3</v>
      </c>
    </row>
    <row r="99" spans="1:7" ht="33" customHeight="1" x14ac:dyDescent="0.15">
      <c r="A99" s="7">
        <f>SUBTOTAL(3,$B$4:B99)+0</f>
        <v>96</v>
      </c>
      <c r="B99" s="7" t="s">
        <v>9</v>
      </c>
      <c r="C99" s="7" t="s">
        <v>198</v>
      </c>
      <c r="D99" s="8" t="s">
        <v>211</v>
      </c>
      <c r="E99" s="9">
        <v>12000</v>
      </c>
      <c r="F99" s="30" t="s">
        <v>212</v>
      </c>
      <c r="G99" s="7">
        <v>2</v>
      </c>
    </row>
    <row r="100" spans="1:7" ht="33" customHeight="1" x14ac:dyDescent="0.15">
      <c r="A100" s="7">
        <f>SUBTOTAL(3,$B$4:B100)+0</f>
        <v>97</v>
      </c>
      <c r="B100" s="7" t="s">
        <v>15</v>
      </c>
      <c r="C100" s="7" t="s">
        <v>198</v>
      </c>
      <c r="D100" s="8" t="s">
        <v>213</v>
      </c>
      <c r="E100" s="9">
        <v>2500</v>
      </c>
      <c r="F100" s="30" t="s">
        <v>214</v>
      </c>
      <c r="G100" s="7">
        <v>2</v>
      </c>
    </row>
    <row r="101" spans="1:7" ht="33" customHeight="1" x14ac:dyDescent="0.15">
      <c r="A101" s="7">
        <f>SUBTOTAL(3,$B$4:B101)+0</f>
        <v>98</v>
      </c>
      <c r="B101" s="7" t="s">
        <v>15</v>
      </c>
      <c r="C101" s="7" t="s">
        <v>198</v>
      </c>
      <c r="D101" s="25" t="s">
        <v>215</v>
      </c>
      <c r="E101" s="9">
        <v>600</v>
      </c>
      <c r="F101" s="30" t="s">
        <v>216</v>
      </c>
      <c r="G101" s="23">
        <v>2</v>
      </c>
    </row>
    <row r="102" spans="1:7" ht="33" customHeight="1" x14ac:dyDescent="0.15">
      <c r="A102" s="7">
        <f>SUBTOTAL(3,$B$4:B102)+0</f>
        <v>99</v>
      </c>
      <c r="B102" s="7" t="s">
        <v>9</v>
      </c>
      <c r="C102" s="7" t="s">
        <v>217</v>
      </c>
      <c r="D102" s="8" t="s">
        <v>218</v>
      </c>
      <c r="E102" s="9">
        <v>60000</v>
      </c>
      <c r="F102" s="12" t="s">
        <v>219</v>
      </c>
      <c r="G102" s="7">
        <v>4</v>
      </c>
    </row>
    <row r="103" spans="1:7" ht="33" customHeight="1" x14ac:dyDescent="0.15">
      <c r="A103" s="7">
        <f>SUBTOTAL(3,$B$4:B103)+0</f>
        <v>100</v>
      </c>
      <c r="B103" s="31" t="s">
        <v>61</v>
      </c>
      <c r="C103" s="32" t="s">
        <v>217</v>
      </c>
      <c r="D103" s="33" t="s">
        <v>220</v>
      </c>
      <c r="E103" s="9">
        <v>8000</v>
      </c>
      <c r="F103" s="12" t="s">
        <v>221</v>
      </c>
      <c r="G103" s="32">
        <v>2</v>
      </c>
    </row>
    <row r="104" spans="1:7" ht="33" customHeight="1" x14ac:dyDescent="0.15">
      <c r="A104" s="7">
        <f>SUBTOTAL(3,$B$4:B104)+0</f>
        <v>101</v>
      </c>
      <c r="B104" s="7" t="s">
        <v>73</v>
      </c>
      <c r="C104" s="7" t="s">
        <v>217</v>
      </c>
      <c r="D104" s="8" t="s">
        <v>222</v>
      </c>
      <c r="E104" s="9">
        <v>3000</v>
      </c>
      <c r="F104" s="12" t="s">
        <v>223</v>
      </c>
      <c r="G104" s="7">
        <v>2</v>
      </c>
    </row>
    <row r="105" spans="1:7" ht="33" customHeight="1" x14ac:dyDescent="0.15">
      <c r="A105" s="7">
        <f>SUBTOTAL(3,$B$4:B105)+0</f>
        <v>102</v>
      </c>
      <c r="B105" s="13" t="s">
        <v>73</v>
      </c>
      <c r="C105" s="13" t="s">
        <v>224</v>
      </c>
      <c r="D105" s="14" t="s">
        <v>225</v>
      </c>
      <c r="E105" s="15">
        <v>9100</v>
      </c>
      <c r="F105" s="16" t="s">
        <v>226</v>
      </c>
      <c r="G105" s="13">
        <v>2</v>
      </c>
    </row>
    <row r="106" spans="1:7" ht="33" customHeight="1" x14ac:dyDescent="0.15">
      <c r="A106" s="7">
        <f>SUBTOTAL(3,$B$4:B106)+0</f>
        <v>103</v>
      </c>
      <c r="B106" s="7" t="s">
        <v>61</v>
      </c>
      <c r="C106" s="7" t="s">
        <v>227</v>
      </c>
      <c r="D106" s="8" t="s">
        <v>227</v>
      </c>
      <c r="E106" s="9">
        <v>178000</v>
      </c>
      <c r="F106" s="12" t="s">
        <v>228</v>
      </c>
      <c r="G106" s="7">
        <v>11</v>
      </c>
    </row>
    <row r="107" spans="1:7" ht="33" customHeight="1" x14ac:dyDescent="0.15">
      <c r="A107" s="34" t="s">
        <v>229</v>
      </c>
      <c r="B107" s="34"/>
      <c r="C107" s="34"/>
      <c r="D107" s="34"/>
      <c r="E107" s="35">
        <f>SUBTOTAL(9,E4:E106)</f>
        <v>2444720</v>
      </c>
      <c r="F107" s="36"/>
      <c r="G107" s="34">
        <f>SUBTOTAL(9,G4:G106)</f>
        <v>241</v>
      </c>
    </row>
  </sheetData>
  <sheetProtection selectLockedCells="1" selectUnlockedCells="1"/>
  <autoFilter ref="A3:G106">
    <filterColumn colId="1">
      <filters>
        <filter val="2차"/>
      </filters>
    </filterColumn>
  </autoFilter>
  <mergeCells count="2">
    <mergeCell ref="A1:G1"/>
    <mergeCell ref="A2:G2"/>
  </mergeCells>
  <phoneticPr fontId="3" type="noConversion"/>
  <pageMargins left="0.51181102362204722" right="0.35433070866141736" top="0.19685039370078741" bottom="0.19685039370078741" header="0.31496062992125984" footer="0.31496062992125984"/>
  <pageSetup paperSize="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배수지현황</vt:lpstr>
      <vt:lpstr>배수지현황!Print_Area</vt:lpstr>
      <vt:lpstr>배수지현황!Print_Titles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2022-03-03T01:34:49Z</dcterms:created>
  <dcterms:modified xsi:type="dcterms:W3CDTF">2022-03-03T01:35:19Z</dcterms:modified>
</cp:coreProperties>
</file>